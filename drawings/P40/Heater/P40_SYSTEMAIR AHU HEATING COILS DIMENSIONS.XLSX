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ENIOX INFORMACION COMUN\PLANOS DE BIAS\Geniox version E3 P25 P3012 P40\Approved drawings\P40\Heater\"/>
    </mc:Choice>
  </mc:AlternateContent>
  <bookViews>
    <workbookView xWindow="1560" yWindow="1335" windowWidth="22290" windowHeight="14415" activeTab="1"/>
  </bookViews>
  <sheets>
    <sheet name="Foglio1" sheetId="1" r:id="rId1"/>
    <sheet name="Foglio2" sheetId="2" r:id="rId2"/>
    <sheet name="Foglio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2" l="1"/>
  <c r="K14" i="2" s="1"/>
  <c r="J15" i="2"/>
  <c r="K15" i="2" s="1"/>
  <c r="J16" i="2"/>
  <c r="K16" i="2" s="1"/>
  <c r="J12" i="2"/>
  <c r="K12" i="2" s="1"/>
  <c r="J13" i="2"/>
  <c r="K13" i="2" s="1"/>
  <c r="C7" i="2"/>
  <c r="C75" i="2" l="1"/>
  <c r="C76" i="2"/>
  <c r="C77" i="2"/>
  <c r="C78" i="2"/>
  <c r="C79" i="2"/>
  <c r="C80" i="2"/>
  <c r="C81" i="2"/>
  <c r="C82" i="2"/>
  <c r="C74" i="2"/>
  <c r="C37" i="2"/>
  <c r="C35" i="2"/>
  <c r="C36" i="2"/>
  <c r="C39" i="2"/>
  <c r="C40" i="2"/>
  <c r="C41" i="2"/>
  <c r="C38" i="2"/>
  <c r="C16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9" i="2"/>
  <c r="C8" i="2"/>
  <c r="C10" i="2"/>
  <c r="C11" i="2"/>
  <c r="C12" i="2"/>
  <c r="C13" i="2"/>
  <c r="C14" i="2"/>
  <c r="C17" i="2"/>
  <c r="L36" i="1" l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C66" i="2"/>
  <c r="C58" i="2"/>
  <c r="C50" i="2"/>
  <c r="C42" i="2"/>
  <c r="C69" i="2"/>
  <c r="C61" i="2"/>
  <c r="C53" i="2"/>
  <c r="C45" i="2"/>
  <c r="C68" i="2"/>
  <c r="C60" i="2"/>
  <c r="C52" i="2"/>
  <c r="C44" i="2"/>
  <c r="C67" i="2"/>
  <c r="C59" i="2"/>
  <c r="C51" i="2"/>
  <c r="C43" i="2"/>
  <c r="C70" i="2"/>
  <c r="C62" i="2"/>
  <c r="C54" i="2"/>
  <c r="C46" i="2"/>
  <c r="C73" i="2"/>
  <c r="C65" i="2"/>
  <c r="C57" i="2"/>
  <c r="C49" i="2"/>
  <c r="C72" i="2"/>
  <c r="C64" i="2"/>
  <c r="C56" i="2"/>
  <c r="C48" i="2"/>
  <c r="C71" i="2"/>
  <c r="C63" i="2"/>
  <c r="C55" i="2"/>
  <c r="C47" i="2"/>
  <c r="C83" i="2"/>
  <c r="C87" i="2"/>
  <c r="C86" i="2"/>
  <c r="C84" i="2"/>
  <c r="C88" i="2"/>
  <c r="C91" i="2"/>
  <c r="C90" i="2"/>
  <c r="C89" i="2"/>
  <c r="C85" i="2"/>
</calcChain>
</file>

<file path=xl/sharedStrings.xml><?xml version="1.0" encoding="utf-8"?>
<sst xmlns="http://schemas.openxmlformats.org/spreadsheetml/2006/main" count="236" uniqueCount="59">
  <si>
    <t>DVH-W-Y</t>
  </si>
  <si>
    <t>a/a'</t>
  </si>
  <si>
    <t>L1</t>
  </si>
  <si>
    <t>L3</t>
  </si>
  <si>
    <t>T1</t>
  </si>
  <si>
    <t>T2</t>
  </si>
  <si>
    <t>OD</t>
  </si>
  <si>
    <t>&lt;= 1"</t>
  </si>
  <si>
    <t>1"1/4 - 1"1/2</t>
  </si>
  <si>
    <t>&lt;= 1"1/4</t>
  </si>
  <si>
    <t>1"1/2 - 2"</t>
  </si>
  <si>
    <t>&lt;= 1"1/2</t>
  </si>
  <si>
    <t>2" - 2"1/2</t>
  </si>
  <si>
    <t>&lt;= 2"</t>
  </si>
  <si>
    <t>2"1/2 - 3"</t>
  </si>
  <si>
    <t>4"</t>
  </si>
  <si>
    <t>Measure to decrease</t>
  </si>
  <si>
    <t>check</t>
  </si>
  <si>
    <t>NEW block</t>
  </si>
  <si>
    <t>1/2"</t>
  </si>
  <si>
    <t>3/4"</t>
  </si>
  <si>
    <t>1"</t>
  </si>
  <si>
    <t>1"1/4</t>
  </si>
  <si>
    <t>1"1/2</t>
  </si>
  <si>
    <t>2"</t>
  </si>
  <si>
    <t>2"1/2</t>
  </si>
  <si>
    <t>3"</t>
  </si>
  <si>
    <t>B</t>
  </si>
  <si>
    <t>REV</t>
  </si>
  <si>
    <t>DATE</t>
  </si>
  <si>
    <t>DESCRIPTION</t>
  </si>
  <si>
    <t>PREP'D</t>
  </si>
  <si>
    <t>CHK'D</t>
  </si>
  <si>
    <t>APPR'D</t>
  </si>
  <si>
    <t>LP</t>
  </si>
  <si>
    <t>FIRST ISSUE</t>
  </si>
  <si>
    <t>UNIT</t>
  </si>
  <si>
    <t>GX10.05</t>
  </si>
  <si>
    <t>GX11.055</t>
  </si>
  <si>
    <t>GX12.06</t>
  </si>
  <si>
    <t>GX14,07</t>
  </si>
  <si>
    <t>GX16.08</t>
  </si>
  <si>
    <t>GX18.09</t>
  </si>
  <si>
    <t>GX20.10</t>
  </si>
  <si>
    <t>GX22.11</t>
  </si>
  <si>
    <t>GX24.12</t>
  </si>
  <si>
    <t>GX27.13</t>
  </si>
  <si>
    <t>GX29.14</t>
  </si>
  <si>
    <t>GX31.15</t>
  </si>
  <si>
    <t>FIRST REVIEW</t>
  </si>
  <si>
    <t>SYSTEMAIR DK
AHU Heating coils dimensions P40
BGXHWP40</t>
  </si>
  <si>
    <t>P curvas</t>
  </si>
  <si>
    <t>L1 aleta</t>
  </si>
  <si>
    <t>L3 total</t>
  </si>
  <si>
    <t>T1 aleta</t>
  </si>
  <si>
    <t>T2 total</t>
  </si>
  <si>
    <t>C colector</t>
  </si>
  <si>
    <t>abajo</t>
  </si>
  <si>
    <t>a' arriba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</si>
</sst>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8" xfId="0" applyBorder="1"/>
    <xf numFmtId="0" fontId="0" fillId="0" borderId="16" xfId="0" applyBorder="1"/>
    <xf numFmtId="0" fontId="0" fillId="0" borderId="29" xfId="0" applyBorder="1"/>
    <xf numFmtId="0" fontId="0" fillId="0" borderId="29" xfId="0" applyBorder="1" applyAlignment="1">
      <alignment horizontal="center" vertical="center"/>
    </xf>
    <xf numFmtId="0" fontId="0" fillId="0" borderId="4" xfId="0" applyBorder="1"/>
    <xf numFmtId="14" fontId="0" fillId="0" borderId="5" xfId="0" applyNumberFormat="1" applyBorder="1"/>
    <xf numFmtId="0" fontId="0" fillId="0" borderId="14" xfId="0" applyBorder="1"/>
    <xf numFmtId="0" fontId="0" fillId="0" borderId="30" xfId="0" applyBorder="1"/>
    <xf numFmtId="0" fontId="0" fillId="0" borderId="3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76200</xdr:rowOff>
        </xdr:from>
        <xdr:to>
          <xdr:col>2</xdr:col>
          <xdr:colOff>314325</xdr:colOff>
          <xdr:row>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opLeftCell="A10" workbookViewId="0">
      <selection activeCell="C46" sqref="C46"/>
    </sheetView>
  </sheetViews>
  <sheetFormatPr baseColWidth="10" defaultColWidth="9.140625" defaultRowHeight="15" x14ac:dyDescent="0.25"/>
  <cols>
    <col min="1" max="2" width="9.140625" style="1"/>
    <col min="3" max="3" width="9.140625" style="2"/>
    <col min="4" max="4" width="11" style="2" customWidth="1"/>
    <col min="5" max="8" width="9.140625" style="1"/>
    <col min="9" max="9" width="12" style="1" bestFit="1" customWidth="1"/>
    <col min="10" max="10" width="9.140625" style="1"/>
    <col min="11" max="11" width="9.140625" customWidth="1"/>
  </cols>
  <sheetData>
    <row r="1" spans="1:12" ht="15.75" thickBot="1" x14ac:dyDescent="0.3">
      <c r="A1" s="1">
        <v>1</v>
      </c>
      <c r="B1" s="1">
        <v>2</v>
      </c>
      <c r="C1" s="2">
        <v>3</v>
      </c>
      <c r="D1" s="2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</row>
    <row r="2" spans="1:12" ht="30.75" thickBot="1" x14ac:dyDescent="0.3">
      <c r="A2" s="17" t="s">
        <v>0</v>
      </c>
      <c r="B2" s="18" t="s">
        <v>18</v>
      </c>
      <c r="C2" s="19" t="s">
        <v>2</v>
      </c>
      <c r="D2" s="20" t="s">
        <v>16</v>
      </c>
      <c r="E2" s="21" t="s">
        <v>3</v>
      </c>
      <c r="F2" s="21" t="s">
        <v>4</v>
      </c>
      <c r="G2" s="21" t="s">
        <v>5</v>
      </c>
      <c r="H2" s="21" t="s">
        <v>1</v>
      </c>
      <c r="I2" s="22" t="s">
        <v>6</v>
      </c>
      <c r="L2" s="1" t="s">
        <v>17</v>
      </c>
    </row>
    <row r="3" spans="1:12" x14ac:dyDescent="0.25">
      <c r="A3" s="12">
        <v>10</v>
      </c>
      <c r="B3" s="13">
        <v>685</v>
      </c>
      <c r="C3" s="14">
        <v>710</v>
      </c>
      <c r="D3" s="13">
        <f>C3-B3</f>
        <v>25</v>
      </c>
      <c r="E3" s="15">
        <v>857</v>
      </c>
      <c r="F3" s="15">
        <v>360</v>
      </c>
      <c r="G3" s="15">
        <v>405</v>
      </c>
      <c r="H3" s="15">
        <f>(G3-F3)/2</f>
        <v>22.5</v>
      </c>
      <c r="I3" s="16" t="s">
        <v>7</v>
      </c>
      <c r="K3">
        <v>35</v>
      </c>
      <c r="L3">
        <f>E3-B3-65-65-K3</f>
        <v>7</v>
      </c>
    </row>
    <row r="4" spans="1:12" x14ac:dyDescent="0.25">
      <c r="A4" s="3">
        <v>10</v>
      </c>
      <c r="B4" s="4">
        <v>670</v>
      </c>
      <c r="C4" s="5">
        <v>695</v>
      </c>
      <c r="D4" s="4">
        <f t="shared" ref="D4:D36" si="0">C4-B4</f>
        <v>25</v>
      </c>
      <c r="E4" s="6">
        <v>857</v>
      </c>
      <c r="F4" s="6">
        <v>360</v>
      </c>
      <c r="G4" s="6">
        <v>405</v>
      </c>
      <c r="H4" s="6">
        <f t="shared" ref="H4:H36" si="1">(G4-F4)/2</f>
        <v>22.5</v>
      </c>
      <c r="I4" s="7" t="s">
        <v>8</v>
      </c>
      <c r="K4">
        <v>50</v>
      </c>
      <c r="L4">
        <f t="shared" ref="L4:L36" si="2">E4-B4-65-65-K4</f>
        <v>7</v>
      </c>
    </row>
    <row r="5" spans="1:12" x14ac:dyDescent="0.25">
      <c r="A5" s="3">
        <v>15</v>
      </c>
      <c r="B5" s="4">
        <v>835</v>
      </c>
      <c r="C5" s="5">
        <v>860</v>
      </c>
      <c r="D5" s="4">
        <f t="shared" si="0"/>
        <v>25</v>
      </c>
      <c r="E5" s="6">
        <v>1007</v>
      </c>
      <c r="F5" s="6">
        <v>420</v>
      </c>
      <c r="G5" s="6">
        <v>480</v>
      </c>
      <c r="H5" s="6">
        <f t="shared" si="1"/>
        <v>30</v>
      </c>
      <c r="I5" s="7" t="s">
        <v>7</v>
      </c>
      <c r="K5">
        <v>35</v>
      </c>
      <c r="L5">
        <f t="shared" si="2"/>
        <v>7</v>
      </c>
    </row>
    <row r="6" spans="1:12" x14ac:dyDescent="0.25">
      <c r="A6" s="3">
        <v>15</v>
      </c>
      <c r="B6" s="4">
        <v>820</v>
      </c>
      <c r="C6" s="5">
        <v>845</v>
      </c>
      <c r="D6" s="4">
        <f t="shared" si="0"/>
        <v>25</v>
      </c>
      <c r="E6" s="6">
        <v>1007</v>
      </c>
      <c r="F6" s="6">
        <v>420</v>
      </c>
      <c r="G6" s="6">
        <v>480</v>
      </c>
      <c r="H6" s="6">
        <f t="shared" si="1"/>
        <v>30</v>
      </c>
      <c r="I6" s="7" t="s">
        <v>8</v>
      </c>
      <c r="K6">
        <v>50</v>
      </c>
      <c r="L6">
        <f t="shared" si="2"/>
        <v>7</v>
      </c>
    </row>
    <row r="7" spans="1:12" x14ac:dyDescent="0.25">
      <c r="A7" s="3">
        <v>20</v>
      </c>
      <c r="B7" s="4">
        <v>977</v>
      </c>
      <c r="C7" s="5">
        <v>1000</v>
      </c>
      <c r="D7" s="4">
        <f t="shared" si="0"/>
        <v>23</v>
      </c>
      <c r="E7" s="6">
        <v>1157</v>
      </c>
      <c r="F7" s="6">
        <v>480</v>
      </c>
      <c r="G7" s="6">
        <v>555</v>
      </c>
      <c r="H7" s="6">
        <f t="shared" si="1"/>
        <v>37.5</v>
      </c>
      <c r="I7" s="7" t="s">
        <v>9</v>
      </c>
      <c r="K7">
        <v>45</v>
      </c>
      <c r="L7">
        <f t="shared" si="2"/>
        <v>5</v>
      </c>
    </row>
    <row r="8" spans="1:12" x14ac:dyDescent="0.25">
      <c r="A8" s="3">
        <v>20</v>
      </c>
      <c r="B8" s="4">
        <v>960</v>
      </c>
      <c r="C8" s="5">
        <v>985</v>
      </c>
      <c r="D8" s="4">
        <f t="shared" si="0"/>
        <v>25</v>
      </c>
      <c r="E8" s="6">
        <v>1157</v>
      </c>
      <c r="F8" s="6">
        <v>480</v>
      </c>
      <c r="G8" s="6">
        <v>555</v>
      </c>
      <c r="H8" s="6">
        <f t="shared" si="1"/>
        <v>37.5</v>
      </c>
      <c r="I8" s="7" t="s">
        <v>10</v>
      </c>
      <c r="K8">
        <v>60</v>
      </c>
      <c r="L8">
        <f t="shared" si="2"/>
        <v>7</v>
      </c>
    </row>
    <row r="9" spans="1:12" x14ac:dyDescent="0.25">
      <c r="A9" s="3">
        <v>25</v>
      </c>
      <c r="B9" s="4">
        <v>1125</v>
      </c>
      <c r="C9" s="5">
        <v>1150</v>
      </c>
      <c r="D9" s="4">
        <f t="shared" si="0"/>
        <v>25</v>
      </c>
      <c r="E9" s="6">
        <v>1307</v>
      </c>
      <c r="F9" s="6">
        <v>600</v>
      </c>
      <c r="G9" s="6">
        <v>630</v>
      </c>
      <c r="H9" s="6">
        <f t="shared" si="1"/>
        <v>15</v>
      </c>
      <c r="I9" s="7" t="s">
        <v>9</v>
      </c>
      <c r="K9">
        <v>45</v>
      </c>
      <c r="L9">
        <f t="shared" si="2"/>
        <v>7</v>
      </c>
    </row>
    <row r="10" spans="1:12" x14ac:dyDescent="0.25">
      <c r="A10" s="3">
        <v>25</v>
      </c>
      <c r="B10" s="4">
        <v>1110</v>
      </c>
      <c r="C10" s="5">
        <v>1135</v>
      </c>
      <c r="D10" s="4">
        <f t="shared" si="0"/>
        <v>25</v>
      </c>
      <c r="E10" s="6">
        <v>1307</v>
      </c>
      <c r="F10" s="6">
        <v>600</v>
      </c>
      <c r="G10" s="6">
        <v>630</v>
      </c>
      <c r="H10" s="6">
        <f t="shared" si="1"/>
        <v>15</v>
      </c>
      <c r="I10" s="7" t="s">
        <v>10</v>
      </c>
      <c r="K10">
        <v>60</v>
      </c>
      <c r="L10">
        <f t="shared" si="2"/>
        <v>7</v>
      </c>
    </row>
    <row r="11" spans="1:12" x14ac:dyDescent="0.25">
      <c r="A11" s="3">
        <v>30</v>
      </c>
      <c r="B11" s="4">
        <v>1275</v>
      </c>
      <c r="C11" s="5">
        <v>1300</v>
      </c>
      <c r="D11" s="4">
        <f t="shared" si="0"/>
        <v>25</v>
      </c>
      <c r="E11" s="6">
        <v>1457</v>
      </c>
      <c r="F11" s="6">
        <v>660</v>
      </c>
      <c r="G11" s="6">
        <v>705</v>
      </c>
      <c r="H11" s="6">
        <f t="shared" si="1"/>
        <v>22.5</v>
      </c>
      <c r="I11" s="7" t="s">
        <v>9</v>
      </c>
      <c r="K11">
        <v>45</v>
      </c>
      <c r="L11">
        <f t="shared" si="2"/>
        <v>7</v>
      </c>
    </row>
    <row r="12" spans="1:12" x14ac:dyDescent="0.25">
      <c r="A12" s="3">
        <v>30</v>
      </c>
      <c r="B12" s="4">
        <v>1260</v>
      </c>
      <c r="C12" s="5">
        <v>1285</v>
      </c>
      <c r="D12" s="4">
        <f t="shared" si="0"/>
        <v>25</v>
      </c>
      <c r="E12" s="6">
        <v>1457</v>
      </c>
      <c r="F12" s="6">
        <v>660</v>
      </c>
      <c r="G12" s="6">
        <v>705</v>
      </c>
      <c r="H12" s="6">
        <f t="shared" si="1"/>
        <v>22.5</v>
      </c>
      <c r="I12" s="7" t="s">
        <v>10</v>
      </c>
      <c r="K12">
        <v>60</v>
      </c>
      <c r="L12">
        <f t="shared" si="2"/>
        <v>7</v>
      </c>
    </row>
    <row r="13" spans="1:12" x14ac:dyDescent="0.25">
      <c r="A13" s="3">
        <v>40</v>
      </c>
      <c r="B13" s="4">
        <v>1420</v>
      </c>
      <c r="C13" s="5">
        <v>1445</v>
      </c>
      <c r="D13" s="4">
        <f t="shared" si="0"/>
        <v>25</v>
      </c>
      <c r="E13" s="6">
        <v>1607</v>
      </c>
      <c r="F13" s="6">
        <v>720</v>
      </c>
      <c r="G13" s="6">
        <v>780</v>
      </c>
      <c r="H13" s="6">
        <f t="shared" si="1"/>
        <v>30</v>
      </c>
      <c r="I13" s="7" t="s">
        <v>11</v>
      </c>
      <c r="K13">
        <v>50</v>
      </c>
      <c r="L13">
        <f t="shared" si="2"/>
        <v>7</v>
      </c>
    </row>
    <row r="14" spans="1:12" x14ac:dyDescent="0.25">
      <c r="A14" s="3">
        <v>40</v>
      </c>
      <c r="B14" s="4">
        <v>1395</v>
      </c>
      <c r="C14" s="5">
        <v>1415</v>
      </c>
      <c r="D14" s="4">
        <f t="shared" si="0"/>
        <v>20</v>
      </c>
      <c r="E14" s="6">
        <v>1607</v>
      </c>
      <c r="F14" s="6">
        <v>720</v>
      </c>
      <c r="G14" s="6">
        <v>780</v>
      </c>
      <c r="H14" s="6">
        <f t="shared" si="1"/>
        <v>30</v>
      </c>
      <c r="I14" s="7" t="s">
        <v>12</v>
      </c>
      <c r="K14">
        <v>75</v>
      </c>
      <c r="L14">
        <f t="shared" si="2"/>
        <v>7</v>
      </c>
    </row>
    <row r="15" spans="1:12" x14ac:dyDescent="0.25">
      <c r="A15" s="3">
        <v>50</v>
      </c>
      <c r="B15" s="4">
        <v>1720</v>
      </c>
      <c r="C15" s="5">
        <v>1745</v>
      </c>
      <c r="D15" s="4">
        <f t="shared" si="0"/>
        <v>25</v>
      </c>
      <c r="E15" s="6">
        <v>1907</v>
      </c>
      <c r="F15" s="6">
        <v>900</v>
      </c>
      <c r="G15" s="6">
        <v>930</v>
      </c>
      <c r="H15" s="6">
        <f t="shared" si="1"/>
        <v>15</v>
      </c>
      <c r="I15" s="7" t="s">
        <v>11</v>
      </c>
      <c r="K15">
        <v>50</v>
      </c>
      <c r="L15">
        <f t="shared" si="2"/>
        <v>7</v>
      </c>
    </row>
    <row r="16" spans="1:12" x14ac:dyDescent="0.25">
      <c r="A16" s="3">
        <v>50</v>
      </c>
      <c r="B16" s="4">
        <v>1695</v>
      </c>
      <c r="C16" s="5">
        <v>1715</v>
      </c>
      <c r="D16" s="4">
        <f t="shared" si="0"/>
        <v>20</v>
      </c>
      <c r="E16" s="6">
        <v>1907</v>
      </c>
      <c r="F16" s="6">
        <v>900</v>
      </c>
      <c r="G16" s="6">
        <v>930</v>
      </c>
      <c r="H16" s="6">
        <f t="shared" si="1"/>
        <v>15</v>
      </c>
      <c r="I16" s="7" t="s">
        <v>12</v>
      </c>
      <c r="K16">
        <v>75</v>
      </c>
      <c r="L16">
        <f t="shared" si="2"/>
        <v>7</v>
      </c>
    </row>
    <row r="17" spans="1:12" x14ac:dyDescent="0.25">
      <c r="A17" s="3">
        <v>60</v>
      </c>
      <c r="B17" s="4">
        <v>1870</v>
      </c>
      <c r="C17" s="5">
        <v>1895</v>
      </c>
      <c r="D17" s="4">
        <f t="shared" si="0"/>
        <v>25</v>
      </c>
      <c r="E17" s="6">
        <v>2057</v>
      </c>
      <c r="F17" s="6">
        <v>960</v>
      </c>
      <c r="G17" s="6">
        <v>1005</v>
      </c>
      <c r="H17" s="6">
        <f t="shared" si="1"/>
        <v>22.5</v>
      </c>
      <c r="I17" s="7" t="s">
        <v>11</v>
      </c>
      <c r="K17">
        <v>50</v>
      </c>
      <c r="L17">
        <f t="shared" si="2"/>
        <v>7</v>
      </c>
    </row>
    <row r="18" spans="1:12" x14ac:dyDescent="0.25">
      <c r="A18" s="3">
        <v>60</v>
      </c>
      <c r="B18" s="4">
        <v>1845</v>
      </c>
      <c r="C18" s="5">
        <v>1865</v>
      </c>
      <c r="D18" s="4">
        <f t="shared" si="0"/>
        <v>20</v>
      </c>
      <c r="E18" s="6">
        <v>2057</v>
      </c>
      <c r="F18" s="6">
        <v>960</v>
      </c>
      <c r="G18" s="6">
        <v>1005</v>
      </c>
      <c r="H18" s="6">
        <f t="shared" si="1"/>
        <v>22.5</v>
      </c>
      <c r="I18" s="7" t="s">
        <v>12</v>
      </c>
      <c r="K18">
        <v>75</v>
      </c>
      <c r="L18">
        <f t="shared" si="2"/>
        <v>7</v>
      </c>
    </row>
    <row r="19" spans="1:12" x14ac:dyDescent="0.25">
      <c r="A19" s="3">
        <v>80</v>
      </c>
      <c r="B19" s="4">
        <v>1860</v>
      </c>
      <c r="C19" s="5">
        <v>1885</v>
      </c>
      <c r="D19" s="4">
        <f t="shared" si="0"/>
        <v>25</v>
      </c>
      <c r="E19" s="6">
        <v>2057</v>
      </c>
      <c r="F19" s="6">
        <v>1080</v>
      </c>
      <c r="G19" s="6">
        <v>1155</v>
      </c>
      <c r="H19" s="6">
        <f t="shared" si="1"/>
        <v>37.5</v>
      </c>
      <c r="I19" s="7" t="s">
        <v>13</v>
      </c>
      <c r="K19">
        <v>60</v>
      </c>
      <c r="L19">
        <f t="shared" si="2"/>
        <v>7</v>
      </c>
    </row>
    <row r="20" spans="1:12" x14ac:dyDescent="0.25">
      <c r="A20" s="3">
        <v>80</v>
      </c>
      <c r="B20" s="4">
        <v>1830</v>
      </c>
      <c r="C20" s="5">
        <v>1855</v>
      </c>
      <c r="D20" s="4">
        <f t="shared" si="0"/>
        <v>25</v>
      </c>
      <c r="E20" s="6">
        <v>2057</v>
      </c>
      <c r="F20" s="6">
        <v>1080</v>
      </c>
      <c r="G20" s="6">
        <v>1155</v>
      </c>
      <c r="H20" s="6">
        <f t="shared" si="1"/>
        <v>37.5</v>
      </c>
      <c r="I20" s="7" t="s">
        <v>14</v>
      </c>
      <c r="K20">
        <v>90</v>
      </c>
      <c r="L20">
        <f t="shared" si="2"/>
        <v>7</v>
      </c>
    </row>
    <row r="21" spans="1:12" x14ac:dyDescent="0.25">
      <c r="A21" s="3">
        <v>80</v>
      </c>
      <c r="B21" s="5">
        <v>1795</v>
      </c>
      <c r="C21" s="5">
        <v>1795</v>
      </c>
      <c r="D21" s="5">
        <f t="shared" si="0"/>
        <v>0</v>
      </c>
      <c r="E21" s="6">
        <v>2057</v>
      </c>
      <c r="F21" s="6">
        <v>1080</v>
      </c>
      <c r="G21" s="6">
        <v>1155</v>
      </c>
      <c r="H21" s="6">
        <f t="shared" si="1"/>
        <v>37.5</v>
      </c>
      <c r="I21" s="7" t="s">
        <v>15</v>
      </c>
      <c r="K21">
        <v>108</v>
      </c>
      <c r="L21">
        <f t="shared" si="2"/>
        <v>24</v>
      </c>
    </row>
    <row r="22" spans="1:12" x14ac:dyDescent="0.25">
      <c r="A22" s="3">
        <v>100</v>
      </c>
      <c r="B22" s="4">
        <v>2060</v>
      </c>
      <c r="C22" s="5">
        <v>2085</v>
      </c>
      <c r="D22" s="4">
        <f t="shared" si="0"/>
        <v>25</v>
      </c>
      <c r="E22" s="6">
        <v>2257</v>
      </c>
      <c r="F22" s="6">
        <v>1260</v>
      </c>
      <c r="G22" s="6">
        <v>1305</v>
      </c>
      <c r="H22" s="6">
        <f t="shared" si="1"/>
        <v>22.5</v>
      </c>
      <c r="I22" s="7" t="s">
        <v>13</v>
      </c>
      <c r="K22">
        <v>60</v>
      </c>
      <c r="L22">
        <f t="shared" si="2"/>
        <v>7</v>
      </c>
    </row>
    <row r="23" spans="1:12" x14ac:dyDescent="0.25">
      <c r="A23" s="3">
        <v>100</v>
      </c>
      <c r="B23" s="4">
        <v>2030</v>
      </c>
      <c r="C23" s="5">
        <v>2055</v>
      </c>
      <c r="D23" s="4">
        <f t="shared" si="0"/>
        <v>25</v>
      </c>
      <c r="E23" s="6">
        <v>2257</v>
      </c>
      <c r="F23" s="6">
        <v>1260</v>
      </c>
      <c r="G23" s="6">
        <v>1305</v>
      </c>
      <c r="H23" s="6">
        <f t="shared" si="1"/>
        <v>22.5</v>
      </c>
      <c r="I23" s="7" t="s">
        <v>14</v>
      </c>
      <c r="K23">
        <v>90</v>
      </c>
      <c r="L23">
        <f t="shared" si="2"/>
        <v>7</v>
      </c>
    </row>
    <row r="24" spans="1:12" x14ac:dyDescent="0.25">
      <c r="A24" s="3">
        <v>100</v>
      </c>
      <c r="B24" s="5">
        <v>1995</v>
      </c>
      <c r="C24" s="5">
        <v>1995</v>
      </c>
      <c r="D24" s="5">
        <f t="shared" si="0"/>
        <v>0</v>
      </c>
      <c r="E24" s="6">
        <v>2257</v>
      </c>
      <c r="F24" s="6">
        <v>1260</v>
      </c>
      <c r="G24" s="6">
        <v>1305</v>
      </c>
      <c r="H24" s="6">
        <f t="shared" si="1"/>
        <v>22.5</v>
      </c>
      <c r="I24" s="7" t="s">
        <v>15</v>
      </c>
      <c r="K24">
        <v>108</v>
      </c>
      <c r="L24">
        <f t="shared" si="2"/>
        <v>24</v>
      </c>
    </row>
    <row r="25" spans="1:12" x14ac:dyDescent="0.25">
      <c r="A25" s="3">
        <v>120</v>
      </c>
      <c r="B25" s="4">
        <v>2280</v>
      </c>
      <c r="C25" s="5">
        <v>2305</v>
      </c>
      <c r="D25" s="4">
        <f t="shared" si="0"/>
        <v>25</v>
      </c>
      <c r="E25" s="6">
        <v>2477</v>
      </c>
      <c r="F25" s="6">
        <v>1380</v>
      </c>
      <c r="G25" s="6">
        <v>1455</v>
      </c>
      <c r="H25" s="6">
        <f t="shared" si="1"/>
        <v>37.5</v>
      </c>
      <c r="I25" s="7" t="s">
        <v>13</v>
      </c>
      <c r="K25">
        <v>60</v>
      </c>
      <c r="L25">
        <f t="shared" si="2"/>
        <v>7</v>
      </c>
    </row>
    <row r="26" spans="1:12" x14ac:dyDescent="0.25">
      <c r="A26" s="3">
        <v>120</v>
      </c>
      <c r="B26" s="4">
        <v>2250</v>
      </c>
      <c r="C26" s="5">
        <v>2275</v>
      </c>
      <c r="D26" s="4">
        <f t="shared" si="0"/>
        <v>25</v>
      </c>
      <c r="E26" s="6">
        <v>2477</v>
      </c>
      <c r="F26" s="6">
        <v>1380</v>
      </c>
      <c r="G26" s="6">
        <v>1455</v>
      </c>
      <c r="H26" s="6">
        <f t="shared" si="1"/>
        <v>37.5</v>
      </c>
      <c r="I26" s="7" t="s">
        <v>14</v>
      </c>
      <c r="K26">
        <v>90</v>
      </c>
      <c r="L26">
        <f t="shared" si="2"/>
        <v>7</v>
      </c>
    </row>
    <row r="27" spans="1:12" x14ac:dyDescent="0.25">
      <c r="A27" s="3">
        <v>120</v>
      </c>
      <c r="B27" s="5">
        <v>2215</v>
      </c>
      <c r="C27" s="5">
        <v>2215</v>
      </c>
      <c r="D27" s="5">
        <f t="shared" si="0"/>
        <v>0</v>
      </c>
      <c r="E27" s="6">
        <v>2477</v>
      </c>
      <c r="F27" s="6">
        <v>1380</v>
      </c>
      <c r="G27" s="6">
        <v>1455</v>
      </c>
      <c r="H27" s="6">
        <f t="shared" si="1"/>
        <v>37.5</v>
      </c>
      <c r="I27" s="7" t="s">
        <v>15</v>
      </c>
      <c r="K27">
        <v>108</v>
      </c>
      <c r="L27">
        <f t="shared" si="2"/>
        <v>24</v>
      </c>
    </row>
    <row r="28" spans="1:12" x14ac:dyDescent="0.25">
      <c r="A28" s="3">
        <v>150</v>
      </c>
      <c r="B28" s="4">
        <v>2580</v>
      </c>
      <c r="C28" s="5">
        <v>2605</v>
      </c>
      <c r="D28" s="4">
        <f t="shared" si="0"/>
        <v>25</v>
      </c>
      <c r="E28" s="6">
        <v>2777</v>
      </c>
      <c r="F28" s="6">
        <v>1560</v>
      </c>
      <c r="G28" s="6">
        <v>1605</v>
      </c>
      <c r="H28" s="6">
        <f t="shared" si="1"/>
        <v>22.5</v>
      </c>
      <c r="I28" s="7" t="s">
        <v>13</v>
      </c>
      <c r="K28">
        <v>60</v>
      </c>
      <c r="L28">
        <f t="shared" si="2"/>
        <v>7</v>
      </c>
    </row>
    <row r="29" spans="1:12" x14ac:dyDescent="0.25">
      <c r="A29" s="3">
        <v>150</v>
      </c>
      <c r="B29" s="4">
        <v>2550</v>
      </c>
      <c r="C29" s="5">
        <v>2575</v>
      </c>
      <c r="D29" s="4">
        <f t="shared" si="0"/>
        <v>25</v>
      </c>
      <c r="E29" s="6">
        <v>2777</v>
      </c>
      <c r="F29" s="6">
        <v>1560</v>
      </c>
      <c r="G29" s="6">
        <v>1605</v>
      </c>
      <c r="H29" s="6">
        <f t="shared" si="1"/>
        <v>22.5</v>
      </c>
      <c r="I29" s="7" t="s">
        <v>14</v>
      </c>
      <c r="K29">
        <v>90</v>
      </c>
      <c r="L29">
        <f t="shared" si="2"/>
        <v>7</v>
      </c>
    </row>
    <row r="30" spans="1:12" x14ac:dyDescent="0.25">
      <c r="A30" s="3">
        <v>150</v>
      </c>
      <c r="B30" s="6">
        <v>2515</v>
      </c>
      <c r="C30" s="5">
        <v>2515</v>
      </c>
      <c r="D30" s="5">
        <f t="shared" si="0"/>
        <v>0</v>
      </c>
      <c r="E30" s="6">
        <v>2777</v>
      </c>
      <c r="F30" s="6">
        <v>1560</v>
      </c>
      <c r="G30" s="6">
        <v>1605</v>
      </c>
      <c r="H30" s="6">
        <f t="shared" si="1"/>
        <v>22.5</v>
      </c>
      <c r="I30" s="7" t="s">
        <v>15</v>
      </c>
      <c r="K30">
        <v>108</v>
      </c>
      <c r="L30">
        <f t="shared" si="2"/>
        <v>24</v>
      </c>
    </row>
    <row r="31" spans="1:12" x14ac:dyDescent="0.25">
      <c r="A31" s="3">
        <v>190</v>
      </c>
      <c r="B31" s="4">
        <v>2880</v>
      </c>
      <c r="C31" s="5">
        <v>2905</v>
      </c>
      <c r="D31" s="4">
        <f t="shared" si="0"/>
        <v>25</v>
      </c>
      <c r="E31" s="6">
        <v>3077</v>
      </c>
      <c r="F31" s="6">
        <v>1800</v>
      </c>
      <c r="G31" s="6">
        <v>1900</v>
      </c>
      <c r="H31" s="6">
        <f t="shared" si="1"/>
        <v>50</v>
      </c>
      <c r="I31" s="7" t="s">
        <v>13</v>
      </c>
      <c r="K31">
        <v>60</v>
      </c>
      <c r="L31">
        <f t="shared" si="2"/>
        <v>7</v>
      </c>
    </row>
    <row r="32" spans="1:12" x14ac:dyDescent="0.25">
      <c r="A32" s="3">
        <v>190</v>
      </c>
      <c r="B32" s="4">
        <v>2850</v>
      </c>
      <c r="C32" s="5">
        <v>2875</v>
      </c>
      <c r="D32" s="4">
        <f t="shared" si="0"/>
        <v>25</v>
      </c>
      <c r="E32" s="6">
        <v>3077</v>
      </c>
      <c r="F32" s="6">
        <v>1800</v>
      </c>
      <c r="G32" s="6">
        <v>1900</v>
      </c>
      <c r="H32" s="6">
        <f t="shared" si="1"/>
        <v>50</v>
      </c>
      <c r="I32" s="7" t="s">
        <v>14</v>
      </c>
      <c r="K32">
        <v>90</v>
      </c>
      <c r="L32">
        <f t="shared" si="2"/>
        <v>7</v>
      </c>
    </row>
    <row r="33" spans="1:12" x14ac:dyDescent="0.25">
      <c r="A33" s="3">
        <v>190</v>
      </c>
      <c r="B33" s="6">
        <v>2815</v>
      </c>
      <c r="C33" s="5">
        <v>2815</v>
      </c>
      <c r="D33" s="5">
        <f t="shared" si="0"/>
        <v>0</v>
      </c>
      <c r="E33" s="6">
        <v>3077</v>
      </c>
      <c r="F33" s="6">
        <v>1800</v>
      </c>
      <c r="G33" s="6">
        <v>1900</v>
      </c>
      <c r="H33" s="6">
        <f t="shared" si="1"/>
        <v>50</v>
      </c>
      <c r="I33" s="7" t="s">
        <v>15</v>
      </c>
      <c r="K33">
        <v>108</v>
      </c>
      <c r="L33">
        <f t="shared" si="2"/>
        <v>24</v>
      </c>
    </row>
    <row r="34" spans="1:12" x14ac:dyDescent="0.25">
      <c r="A34" s="3">
        <v>240</v>
      </c>
      <c r="B34" s="4">
        <v>3180</v>
      </c>
      <c r="C34" s="5">
        <v>3205</v>
      </c>
      <c r="D34" s="4">
        <f t="shared" si="0"/>
        <v>25</v>
      </c>
      <c r="E34" s="6">
        <v>3377</v>
      </c>
      <c r="F34" s="6">
        <v>2100</v>
      </c>
      <c r="G34" s="6">
        <v>2200</v>
      </c>
      <c r="H34" s="6">
        <f t="shared" si="1"/>
        <v>50</v>
      </c>
      <c r="I34" s="7" t="s">
        <v>13</v>
      </c>
      <c r="K34">
        <v>60</v>
      </c>
      <c r="L34">
        <f t="shared" si="2"/>
        <v>7</v>
      </c>
    </row>
    <row r="35" spans="1:12" x14ac:dyDescent="0.25">
      <c r="A35" s="3">
        <v>240</v>
      </c>
      <c r="B35" s="4">
        <v>3150</v>
      </c>
      <c r="C35" s="5">
        <v>3175</v>
      </c>
      <c r="D35" s="4">
        <f t="shared" si="0"/>
        <v>25</v>
      </c>
      <c r="E35" s="6">
        <v>3377</v>
      </c>
      <c r="F35" s="6">
        <v>2100</v>
      </c>
      <c r="G35" s="6">
        <v>2200</v>
      </c>
      <c r="H35" s="6">
        <f t="shared" si="1"/>
        <v>50</v>
      </c>
      <c r="I35" s="7" t="s">
        <v>14</v>
      </c>
      <c r="K35">
        <v>90</v>
      </c>
      <c r="L35">
        <f t="shared" si="2"/>
        <v>7</v>
      </c>
    </row>
    <row r="36" spans="1:12" ht="15.75" thickBot="1" x14ac:dyDescent="0.3">
      <c r="A36" s="8">
        <v>240</v>
      </c>
      <c r="B36" s="9">
        <v>3115</v>
      </c>
      <c r="C36" s="10">
        <v>3115</v>
      </c>
      <c r="D36" s="10">
        <f t="shared" si="0"/>
        <v>0</v>
      </c>
      <c r="E36" s="9">
        <v>3377</v>
      </c>
      <c r="F36" s="9">
        <v>2100</v>
      </c>
      <c r="G36" s="9">
        <v>2200</v>
      </c>
      <c r="H36" s="9">
        <f t="shared" si="1"/>
        <v>50</v>
      </c>
      <c r="I36" s="11" t="s">
        <v>15</v>
      </c>
      <c r="K36">
        <v>108</v>
      </c>
      <c r="L36">
        <f t="shared" si="2"/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4"/>
  <sheetViews>
    <sheetView tabSelected="1" zoomScaleNormal="100" workbookViewId="0">
      <pane xSplit="1" ySplit="6" topLeftCell="B40" activePane="bottomRight" state="frozen"/>
      <selection pane="topRight" activeCell="B1" sqref="B1"/>
      <selection pane="bottomLeft" activeCell="A7" sqref="A7"/>
      <selection pane="bottomRight" activeCell="C6" sqref="C6:K6"/>
    </sheetView>
  </sheetViews>
  <sheetFormatPr baseColWidth="10" defaultColWidth="9.140625" defaultRowHeight="15" x14ac:dyDescent="0.25"/>
  <cols>
    <col min="2" max="2" width="12" bestFit="1" customWidth="1"/>
    <col min="4" max="6" width="8.28515625" customWidth="1"/>
    <col min="7" max="9" width="8.28515625" style="1" customWidth="1"/>
    <col min="10" max="10" width="8.28515625" style="37" customWidth="1"/>
    <col min="11" max="11" width="8.28515625" style="1" customWidth="1"/>
  </cols>
  <sheetData>
    <row r="1" spans="1:11" s="27" customFormat="1" ht="16.5" customHeight="1" x14ac:dyDescent="0.25">
      <c r="A1" s="30"/>
      <c r="B1" s="31"/>
      <c r="C1" s="32"/>
      <c r="D1" s="62" t="s">
        <v>50</v>
      </c>
      <c r="E1" s="63"/>
      <c r="F1" s="63"/>
      <c r="G1" s="63"/>
      <c r="H1" s="63"/>
      <c r="I1" s="63"/>
      <c r="J1" s="63"/>
      <c r="K1" s="64"/>
    </row>
    <row r="2" spans="1:11" s="27" customFormat="1" ht="16.5" customHeight="1" x14ac:dyDescent="0.25">
      <c r="A2" s="33"/>
      <c r="B2" s="28"/>
      <c r="C2" s="29"/>
      <c r="D2" s="65"/>
      <c r="E2" s="66"/>
      <c r="F2" s="66"/>
      <c r="G2" s="66"/>
      <c r="H2" s="66"/>
      <c r="I2" s="66"/>
      <c r="J2" s="66"/>
      <c r="K2" s="67"/>
    </row>
    <row r="3" spans="1:11" s="27" customFormat="1" ht="16.5" customHeight="1" x14ac:dyDescent="0.25">
      <c r="A3" s="33"/>
      <c r="B3" s="28"/>
      <c r="C3" s="29"/>
      <c r="D3" s="65"/>
      <c r="E3" s="66"/>
      <c r="F3" s="66"/>
      <c r="G3" s="66"/>
      <c r="H3" s="66"/>
      <c r="I3" s="66"/>
      <c r="J3" s="66"/>
      <c r="K3" s="67"/>
    </row>
    <row r="4" spans="1:11" s="27" customFormat="1" ht="16.5" customHeight="1" thickBot="1" x14ac:dyDescent="0.3">
      <c r="A4" s="34"/>
      <c r="B4" s="35"/>
      <c r="C4" s="36"/>
      <c r="D4" s="68"/>
      <c r="E4" s="69"/>
      <c r="F4" s="69"/>
      <c r="G4" s="69"/>
      <c r="H4" s="69"/>
      <c r="I4" s="69"/>
      <c r="J4" s="69"/>
      <c r="K4" s="70"/>
    </row>
    <row r="5" spans="1:11" ht="15.75" thickBot="1" x14ac:dyDescent="0.3">
      <c r="A5" s="44"/>
      <c r="B5" s="44"/>
      <c r="C5" s="46"/>
      <c r="D5" s="44"/>
      <c r="E5" s="44"/>
      <c r="F5" s="44"/>
      <c r="G5" s="44"/>
      <c r="H5" s="44"/>
      <c r="I5" s="44"/>
      <c r="J5" s="44"/>
      <c r="K5" s="44"/>
    </row>
    <row r="6" spans="1:11" ht="20.100000000000001" customHeight="1" thickBot="1" x14ac:dyDescent="0.3">
      <c r="A6" s="38" t="s">
        <v>36</v>
      </c>
      <c r="B6" s="39" t="s">
        <v>6</v>
      </c>
      <c r="C6" s="40" t="s">
        <v>52</v>
      </c>
      <c r="D6" s="41" t="s">
        <v>53</v>
      </c>
      <c r="E6" s="39" t="s">
        <v>54</v>
      </c>
      <c r="F6" s="39" t="s">
        <v>55</v>
      </c>
      <c r="G6" s="41" t="s">
        <v>51</v>
      </c>
      <c r="H6" s="42" t="s">
        <v>27</v>
      </c>
      <c r="I6" s="43" t="s">
        <v>56</v>
      </c>
      <c r="J6" s="43" t="s">
        <v>57</v>
      </c>
      <c r="K6" s="41" t="s">
        <v>58</v>
      </c>
    </row>
    <row r="7" spans="1:11" ht="20.100000000000001" customHeight="1" x14ac:dyDescent="0.25">
      <c r="A7" s="47" t="s">
        <v>37</v>
      </c>
      <c r="B7" s="15" t="s">
        <v>19</v>
      </c>
      <c r="C7" s="14">
        <f t="shared" ref="C7:C38" si="0">D7-G7-I7</f>
        <v>787</v>
      </c>
      <c r="D7" s="15">
        <v>947</v>
      </c>
      <c r="E7" s="15">
        <v>400</v>
      </c>
      <c r="F7" s="15">
        <v>444</v>
      </c>
      <c r="G7" s="15">
        <v>65</v>
      </c>
      <c r="H7" s="48">
        <v>90</v>
      </c>
      <c r="I7" s="48">
        <v>95</v>
      </c>
      <c r="J7" s="25">
        <v>17</v>
      </c>
      <c r="K7" s="6">
        <v>27</v>
      </c>
    </row>
    <row r="8" spans="1:11" ht="20.100000000000001" customHeight="1" x14ac:dyDescent="0.25">
      <c r="A8" s="45" t="s">
        <v>37</v>
      </c>
      <c r="B8" s="6" t="s">
        <v>20</v>
      </c>
      <c r="C8" s="14">
        <f t="shared" si="0"/>
        <v>782</v>
      </c>
      <c r="D8" s="15">
        <v>947</v>
      </c>
      <c r="E8" s="15">
        <v>400</v>
      </c>
      <c r="F8" s="15">
        <v>444</v>
      </c>
      <c r="G8" s="6">
        <v>65</v>
      </c>
      <c r="H8" s="25">
        <v>95</v>
      </c>
      <c r="I8" s="25">
        <v>100</v>
      </c>
      <c r="J8" s="25">
        <v>17</v>
      </c>
      <c r="K8" s="6">
        <v>27</v>
      </c>
    </row>
    <row r="9" spans="1:11" ht="20.100000000000001" customHeight="1" x14ac:dyDescent="0.25">
      <c r="A9" s="45" t="s">
        <v>37</v>
      </c>
      <c r="B9" s="6" t="s">
        <v>21</v>
      </c>
      <c r="C9" s="14">
        <f t="shared" si="0"/>
        <v>777</v>
      </c>
      <c r="D9" s="15">
        <v>947</v>
      </c>
      <c r="E9" s="15">
        <v>400</v>
      </c>
      <c r="F9" s="15">
        <v>444</v>
      </c>
      <c r="G9" s="6">
        <v>65</v>
      </c>
      <c r="H9" s="25">
        <v>100</v>
      </c>
      <c r="I9" s="25">
        <v>105</v>
      </c>
      <c r="J9" s="25">
        <v>17</v>
      </c>
      <c r="K9" s="6">
        <v>27</v>
      </c>
    </row>
    <row r="10" spans="1:11" ht="20.100000000000001" customHeight="1" x14ac:dyDescent="0.25">
      <c r="A10" s="45" t="s">
        <v>37</v>
      </c>
      <c r="B10" s="6" t="s">
        <v>22</v>
      </c>
      <c r="C10" s="14">
        <f t="shared" si="0"/>
        <v>767</v>
      </c>
      <c r="D10" s="15">
        <v>947</v>
      </c>
      <c r="E10" s="15">
        <v>400</v>
      </c>
      <c r="F10" s="15">
        <v>444</v>
      </c>
      <c r="G10" s="6">
        <v>65</v>
      </c>
      <c r="H10" s="25">
        <v>110</v>
      </c>
      <c r="I10" s="25">
        <v>115</v>
      </c>
      <c r="J10" s="25">
        <v>17</v>
      </c>
      <c r="K10" s="6">
        <v>27</v>
      </c>
    </row>
    <row r="11" spans="1:11" ht="20.100000000000001" customHeight="1" x14ac:dyDescent="0.25">
      <c r="A11" s="45" t="s">
        <v>37</v>
      </c>
      <c r="B11" s="6" t="s">
        <v>23</v>
      </c>
      <c r="C11" s="14">
        <f t="shared" si="0"/>
        <v>762</v>
      </c>
      <c r="D11" s="15">
        <v>947</v>
      </c>
      <c r="E11" s="15">
        <v>400</v>
      </c>
      <c r="F11" s="15">
        <v>444</v>
      </c>
      <c r="G11" s="6">
        <v>65</v>
      </c>
      <c r="H11" s="25">
        <v>115</v>
      </c>
      <c r="I11" s="25">
        <v>120</v>
      </c>
      <c r="J11" s="25">
        <v>17</v>
      </c>
      <c r="K11" s="6">
        <v>27</v>
      </c>
    </row>
    <row r="12" spans="1:11" ht="20.100000000000001" customHeight="1" x14ac:dyDescent="0.25">
      <c r="A12" s="45" t="s">
        <v>38</v>
      </c>
      <c r="B12" s="6" t="s">
        <v>19</v>
      </c>
      <c r="C12" s="14">
        <f t="shared" si="0"/>
        <v>887</v>
      </c>
      <c r="D12" s="6">
        <v>1047</v>
      </c>
      <c r="E12" s="6">
        <v>440</v>
      </c>
      <c r="F12" s="6">
        <v>494</v>
      </c>
      <c r="G12" s="6">
        <v>65</v>
      </c>
      <c r="H12" s="25">
        <v>90</v>
      </c>
      <c r="I12" s="25">
        <v>95</v>
      </c>
      <c r="J12" s="25">
        <f>(F12-E12)/2</f>
        <v>27</v>
      </c>
      <c r="K12" s="6">
        <f>J12</f>
        <v>27</v>
      </c>
    </row>
    <row r="13" spans="1:11" ht="20.100000000000001" customHeight="1" x14ac:dyDescent="0.25">
      <c r="A13" s="45" t="s">
        <v>38</v>
      </c>
      <c r="B13" s="6" t="s">
        <v>20</v>
      </c>
      <c r="C13" s="14">
        <f t="shared" si="0"/>
        <v>882</v>
      </c>
      <c r="D13" s="6">
        <v>1047</v>
      </c>
      <c r="E13" s="6">
        <v>440</v>
      </c>
      <c r="F13" s="6">
        <v>494</v>
      </c>
      <c r="G13" s="6">
        <v>65</v>
      </c>
      <c r="H13" s="25">
        <v>95</v>
      </c>
      <c r="I13" s="25">
        <v>100</v>
      </c>
      <c r="J13" s="25">
        <f t="shared" ref="J13:J14" si="1">(F13-E13)/2</f>
        <v>27</v>
      </c>
      <c r="K13" s="6">
        <f t="shared" ref="K13:K16" si="2">J13</f>
        <v>27</v>
      </c>
    </row>
    <row r="14" spans="1:11" ht="20.100000000000001" customHeight="1" x14ac:dyDescent="0.25">
      <c r="A14" s="45" t="s">
        <v>38</v>
      </c>
      <c r="B14" s="6" t="s">
        <v>21</v>
      </c>
      <c r="C14" s="14">
        <f t="shared" si="0"/>
        <v>877</v>
      </c>
      <c r="D14" s="6">
        <v>1047</v>
      </c>
      <c r="E14" s="6">
        <v>440</v>
      </c>
      <c r="F14" s="6">
        <v>494</v>
      </c>
      <c r="G14" s="6">
        <v>65</v>
      </c>
      <c r="H14" s="25">
        <v>100</v>
      </c>
      <c r="I14" s="25">
        <v>105</v>
      </c>
      <c r="J14" s="25">
        <f t="shared" si="1"/>
        <v>27</v>
      </c>
      <c r="K14" s="6">
        <f t="shared" si="2"/>
        <v>27</v>
      </c>
    </row>
    <row r="15" spans="1:11" ht="20.100000000000001" customHeight="1" x14ac:dyDescent="0.25">
      <c r="A15" s="45" t="s">
        <v>38</v>
      </c>
      <c r="B15" s="6" t="s">
        <v>22</v>
      </c>
      <c r="C15" s="14">
        <f t="shared" si="0"/>
        <v>867</v>
      </c>
      <c r="D15" s="6">
        <v>1047</v>
      </c>
      <c r="E15" s="6">
        <v>440</v>
      </c>
      <c r="F15" s="6">
        <v>494</v>
      </c>
      <c r="G15" s="6">
        <v>65</v>
      </c>
      <c r="H15" s="25">
        <v>110</v>
      </c>
      <c r="I15" s="25">
        <v>115</v>
      </c>
      <c r="J15" s="25">
        <f t="shared" ref="J15:J16" si="3">(F15-E15)/2</f>
        <v>27</v>
      </c>
      <c r="K15" s="6">
        <f t="shared" si="2"/>
        <v>27</v>
      </c>
    </row>
    <row r="16" spans="1:11" ht="20.100000000000001" customHeight="1" x14ac:dyDescent="0.25">
      <c r="A16" s="45" t="s">
        <v>38</v>
      </c>
      <c r="B16" s="6" t="s">
        <v>23</v>
      </c>
      <c r="C16" s="14">
        <f t="shared" si="0"/>
        <v>862</v>
      </c>
      <c r="D16" s="6">
        <v>1047</v>
      </c>
      <c r="E16" s="6">
        <v>440</v>
      </c>
      <c r="F16" s="6">
        <v>494</v>
      </c>
      <c r="G16" s="6">
        <v>65</v>
      </c>
      <c r="H16" s="25">
        <v>115</v>
      </c>
      <c r="I16" s="25">
        <v>120</v>
      </c>
      <c r="J16" s="25">
        <f t="shared" si="3"/>
        <v>27</v>
      </c>
      <c r="K16" s="6">
        <f t="shared" si="2"/>
        <v>27</v>
      </c>
    </row>
    <row r="17" spans="1:11" ht="20.100000000000001" customHeight="1" x14ac:dyDescent="0.25">
      <c r="A17" s="45" t="s">
        <v>39</v>
      </c>
      <c r="B17" s="6" t="s">
        <v>19</v>
      </c>
      <c r="C17" s="14">
        <f t="shared" si="0"/>
        <v>987</v>
      </c>
      <c r="D17" s="25">
        <v>1147</v>
      </c>
      <c r="E17" s="6">
        <v>480</v>
      </c>
      <c r="F17" s="6">
        <v>544</v>
      </c>
      <c r="G17" s="6">
        <v>65</v>
      </c>
      <c r="H17" s="25">
        <v>90</v>
      </c>
      <c r="I17" s="25">
        <v>95</v>
      </c>
      <c r="J17" s="25">
        <v>27</v>
      </c>
      <c r="K17" s="6">
        <v>37</v>
      </c>
    </row>
    <row r="18" spans="1:11" ht="20.100000000000001" customHeight="1" x14ac:dyDescent="0.25">
      <c r="A18" s="45" t="s">
        <v>39</v>
      </c>
      <c r="B18" s="6" t="s">
        <v>20</v>
      </c>
      <c r="C18" s="14">
        <f t="shared" si="0"/>
        <v>982</v>
      </c>
      <c r="D18" s="25">
        <v>1147</v>
      </c>
      <c r="E18" s="6">
        <v>480</v>
      </c>
      <c r="F18" s="6">
        <v>544</v>
      </c>
      <c r="G18" s="6">
        <v>65</v>
      </c>
      <c r="H18" s="25">
        <v>95</v>
      </c>
      <c r="I18" s="25">
        <v>100</v>
      </c>
      <c r="J18" s="25">
        <v>27</v>
      </c>
      <c r="K18" s="6">
        <v>37</v>
      </c>
    </row>
    <row r="19" spans="1:11" ht="20.100000000000001" customHeight="1" x14ac:dyDescent="0.25">
      <c r="A19" s="45" t="s">
        <v>39</v>
      </c>
      <c r="B19" s="6" t="s">
        <v>21</v>
      </c>
      <c r="C19" s="14">
        <f t="shared" si="0"/>
        <v>977</v>
      </c>
      <c r="D19" s="25">
        <v>1147</v>
      </c>
      <c r="E19" s="6">
        <v>480</v>
      </c>
      <c r="F19" s="6">
        <v>544</v>
      </c>
      <c r="G19" s="6">
        <v>65</v>
      </c>
      <c r="H19" s="25">
        <v>100</v>
      </c>
      <c r="I19" s="25">
        <v>105</v>
      </c>
      <c r="J19" s="25">
        <v>27</v>
      </c>
      <c r="K19" s="6">
        <v>37</v>
      </c>
    </row>
    <row r="20" spans="1:11" ht="20.100000000000001" customHeight="1" x14ac:dyDescent="0.25">
      <c r="A20" s="45" t="s">
        <v>39</v>
      </c>
      <c r="B20" s="6" t="s">
        <v>22</v>
      </c>
      <c r="C20" s="14">
        <f t="shared" si="0"/>
        <v>967</v>
      </c>
      <c r="D20" s="25">
        <v>1147</v>
      </c>
      <c r="E20" s="6">
        <v>480</v>
      </c>
      <c r="F20" s="6">
        <v>544</v>
      </c>
      <c r="G20" s="6">
        <v>65</v>
      </c>
      <c r="H20" s="25">
        <v>110</v>
      </c>
      <c r="I20" s="25">
        <v>115</v>
      </c>
      <c r="J20" s="25">
        <v>27</v>
      </c>
      <c r="K20" s="6">
        <v>37</v>
      </c>
    </row>
    <row r="21" spans="1:11" ht="20.100000000000001" customHeight="1" x14ac:dyDescent="0.25">
      <c r="A21" s="45" t="s">
        <v>39</v>
      </c>
      <c r="B21" s="6" t="s">
        <v>23</v>
      </c>
      <c r="C21" s="14">
        <f t="shared" si="0"/>
        <v>962</v>
      </c>
      <c r="D21" s="25">
        <v>1147</v>
      </c>
      <c r="E21" s="6">
        <v>480</v>
      </c>
      <c r="F21" s="6">
        <v>544</v>
      </c>
      <c r="G21" s="6">
        <v>65</v>
      </c>
      <c r="H21" s="25">
        <v>115</v>
      </c>
      <c r="I21" s="25">
        <v>120</v>
      </c>
      <c r="J21" s="25">
        <v>27</v>
      </c>
      <c r="K21" s="6">
        <v>37</v>
      </c>
    </row>
    <row r="22" spans="1:11" ht="20.100000000000001" customHeight="1" x14ac:dyDescent="0.25">
      <c r="A22" s="45" t="s">
        <v>39</v>
      </c>
      <c r="B22" s="6" t="s">
        <v>24</v>
      </c>
      <c r="C22" s="14">
        <f t="shared" si="0"/>
        <v>952</v>
      </c>
      <c r="D22" s="25">
        <v>1147</v>
      </c>
      <c r="E22" s="6">
        <v>480</v>
      </c>
      <c r="F22" s="6">
        <v>544</v>
      </c>
      <c r="G22" s="6">
        <v>65</v>
      </c>
      <c r="H22" s="25">
        <v>125</v>
      </c>
      <c r="I22" s="25">
        <v>130</v>
      </c>
      <c r="J22" s="25">
        <v>27</v>
      </c>
      <c r="K22" s="6">
        <v>37</v>
      </c>
    </row>
    <row r="23" spans="1:11" ht="20.100000000000001" customHeight="1" x14ac:dyDescent="0.25">
      <c r="A23" s="45" t="s">
        <v>40</v>
      </c>
      <c r="B23" s="6" t="s">
        <v>19</v>
      </c>
      <c r="C23" s="14">
        <f t="shared" si="0"/>
        <v>1187</v>
      </c>
      <c r="D23" s="25">
        <v>1347</v>
      </c>
      <c r="E23" s="6">
        <v>600</v>
      </c>
      <c r="F23" s="6">
        <v>644</v>
      </c>
      <c r="G23" s="6">
        <v>65</v>
      </c>
      <c r="H23" s="25">
        <v>90</v>
      </c>
      <c r="I23" s="25">
        <v>95</v>
      </c>
      <c r="J23" s="25">
        <v>17</v>
      </c>
      <c r="K23" s="6">
        <v>27</v>
      </c>
    </row>
    <row r="24" spans="1:11" ht="20.100000000000001" customHeight="1" x14ac:dyDescent="0.25">
      <c r="A24" s="45" t="s">
        <v>40</v>
      </c>
      <c r="B24" s="6" t="s">
        <v>20</v>
      </c>
      <c r="C24" s="14">
        <f t="shared" si="0"/>
        <v>1182</v>
      </c>
      <c r="D24" s="25">
        <v>1347</v>
      </c>
      <c r="E24" s="6">
        <v>600</v>
      </c>
      <c r="F24" s="6">
        <v>644</v>
      </c>
      <c r="G24" s="6">
        <v>65</v>
      </c>
      <c r="H24" s="25">
        <v>95</v>
      </c>
      <c r="I24" s="25">
        <v>100</v>
      </c>
      <c r="J24" s="25">
        <v>17</v>
      </c>
      <c r="K24" s="6">
        <v>27</v>
      </c>
    </row>
    <row r="25" spans="1:11" ht="20.100000000000001" customHeight="1" x14ac:dyDescent="0.25">
      <c r="A25" s="45" t="s">
        <v>40</v>
      </c>
      <c r="B25" s="6" t="s">
        <v>21</v>
      </c>
      <c r="C25" s="14">
        <f t="shared" si="0"/>
        <v>1177</v>
      </c>
      <c r="D25" s="25">
        <v>1347</v>
      </c>
      <c r="E25" s="6">
        <v>600</v>
      </c>
      <c r="F25" s="6">
        <v>644</v>
      </c>
      <c r="G25" s="6">
        <v>65</v>
      </c>
      <c r="H25" s="25">
        <v>100</v>
      </c>
      <c r="I25" s="25">
        <v>105</v>
      </c>
      <c r="J25" s="25">
        <v>17</v>
      </c>
      <c r="K25" s="6">
        <v>27</v>
      </c>
    </row>
    <row r="26" spans="1:11" ht="20.100000000000001" customHeight="1" x14ac:dyDescent="0.25">
      <c r="A26" s="45" t="s">
        <v>40</v>
      </c>
      <c r="B26" s="6" t="s">
        <v>22</v>
      </c>
      <c r="C26" s="14">
        <f t="shared" si="0"/>
        <v>1167</v>
      </c>
      <c r="D26" s="25">
        <v>1347</v>
      </c>
      <c r="E26" s="6">
        <v>600</v>
      </c>
      <c r="F26" s="6">
        <v>644</v>
      </c>
      <c r="G26" s="6">
        <v>65</v>
      </c>
      <c r="H26" s="25">
        <v>110</v>
      </c>
      <c r="I26" s="25">
        <v>115</v>
      </c>
      <c r="J26" s="25">
        <v>17</v>
      </c>
      <c r="K26" s="6">
        <v>27</v>
      </c>
    </row>
    <row r="27" spans="1:11" ht="20.100000000000001" customHeight="1" x14ac:dyDescent="0.25">
      <c r="A27" s="45" t="s">
        <v>40</v>
      </c>
      <c r="B27" s="6" t="s">
        <v>23</v>
      </c>
      <c r="C27" s="14">
        <f t="shared" si="0"/>
        <v>1162</v>
      </c>
      <c r="D27" s="25">
        <v>1347</v>
      </c>
      <c r="E27" s="6">
        <v>600</v>
      </c>
      <c r="F27" s="6">
        <v>644</v>
      </c>
      <c r="G27" s="6">
        <v>65</v>
      </c>
      <c r="H27" s="25">
        <v>115</v>
      </c>
      <c r="I27" s="25">
        <v>120</v>
      </c>
      <c r="J27" s="25">
        <v>17</v>
      </c>
      <c r="K27" s="6">
        <v>27</v>
      </c>
    </row>
    <row r="28" spans="1:11" ht="20.100000000000001" customHeight="1" x14ac:dyDescent="0.25">
      <c r="A28" s="45" t="s">
        <v>40</v>
      </c>
      <c r="B28" s="6" t="s">
        <v>24</v>
      </c>
      <c r="C28" s="14">
        <f t="shared" si="0"/>
        <v>1152</v>
      </c>
      <c r="D28" s="25">
        <v>1347</v>
      </c>
      <c r="E28" s="6">
        <v>600</v>
      </c>
      <c r="F28" s="6">
        <v>644</v>
      </c>
      <c r="G28" s="6">
        <v>65</v>
      </c>
      <c r="H28" s="25">
        <v>125</v>
      </c>
      <c r="I28" s="25">
        <v>130</v>
      </c>
      <c r="J28" s="25">
        <v>17</v>
      </c>
      <c r="K28" s="6">
        <v>27</v>
      </c>
    </row>
    <row r="29" spans="1:11" ht="20.100000000000001" customHeight="1" x14ac:dyDescent="0.25">
      <c r="A29" s="45" t="s">
        <v>41</v>
      </c>
      <c r="B29" s="6" t="s">
        <v>19</v>
      </c>
      <c r="C29" s="14">
        <f t="shared" si="0"/>
        <v>1387</v>
      </c>
      <c r="D29" s="25">
        <v>1547</v>
      </c>
      <c r="E29" s="6">
        <v>680</v>
      </c>
      <c r="F29" s="6">
        <v>744</v>
      </c>
      <c r="G29" s="6">
        <v>65</v>
      </c>
      <c r="H29" s="25">
        <v>90</v>
      </c>
      <c r="I29" s="25">
        <v>95</v>
      </c>
      <c r="J29" s="25">
        <v>27</v>
      </c>
      <c r="K29" s="6">
        <v>37</v>
      </c>
    </row>
    <row r="30" spans="1:11" ht="20.100000000000001" customHeight="1" x14ac:dyDescent="0.25">
      <c r="A30" s="45" t="s">
        <v>41</v>
      </c>
      <c r="B30" s="6" t="s">
        <v>20</v>
      </c>
      <c r="C30" s="14">
        <f t="shared" si="0"/>
        <v>1382</v>
      </c>
      <c r="D30" s="25">
        <v>1547</v>
      </c>
      <c r="E30" s="6">
        <v>680</v>
      </c>
      <c r="F30" s="6">
        <v>744</v>
      </c>
      <c r="G30" s="6">
        <v>65</v>
      </c>
      <c r="H30" s="25">
        <v>95</v>
      </c>
      <c r="I30" s="25">
        <v>100</v>
      </c>
      <c r="J30" s="25">
        <v>27</v>
      </c>
      <c r="K30" s="6">
        <v>37</v>
      </c>
    </row>
    <row r="31" spans="1:11" ht="20.100000000000001" customHeight="1" x14ac:dyDescent="0.25">
      <c r="A31" s="45" t="s">
        <v>41</v>
      </c>
      <c r="B31" s="6" t="s">
        <v>21</v>
      </c>
      <c r="C31" s="14">
        <f t="shared" si="0"/>
        <v>1377</v>
      </c>
      <c r="D31" s="25">
        <v>1547</v>
      </c>
      <c r="E31" s="6">
        <v>680</v>
      </c>
      <c r="F31" s="6">
        <v>744</v>
      </c>
      <c r="G31" s="6">
        <v>65</v>
      </c>
      <c r="H31" s="25">
        <v>100</v>
      </c>
      <c r="I31" s="25">
        <v>105</v>
      </c>
      <c r="J31" s="25">
        <v>27</v>
      </c>
      <c r="K31" s="6">
        <v>37</v>
      </c>
    </row>
    <row r="32" spans="1:11" ht="20.100000000000001" customHeight="1" x14ac:dyDescent="0.25">
      <c r="A32" s="45" t="s">
        <v>41</v>
      </c>
      <c r="B32" s="6" t="s">
        <v>22</v>
      </c>
      <c r="C32" s="14">
        <f t="shared" si="0"/>
        <v>1367</v>
      </c>
      <c r="D32" s="25">
        <v>1547</v>
      </c>
      <c r="E32" s="6">
        <v>680</v>
      </c>
      <c r="F32" s="6">
        <v>744</v>
      </c>
      <c r="G32" s="6">
        <v>65</v>
      </c>
      <c r="H32" s="25">
        <v>110</v>
      </c>
      <c r="I32" s="25">
        <v>115</v>
      </c>
      <c r="J32" s="25">
        <v>27</v>
      </c>
      <c r="K32" s="6">
        <v>37</v>
      </c>
    </row>
    <row r="33" spans="1:11" ht="20.100000000000001" customHeight="1" x14ac:dyDescent="0.25">
      <c r="A33" s="45" t="s">
        <v>41</v>
      </c>
      <c r="B33" s="6" t="s">
        <v>23</v>
      </c>
      <c r="C33" s="14">
        <f t="shared" si="0"/>
        <v>1362</v>
      </c>
      <c r="D33" s="25">
        <v>1547</v>
      </c>
      <c r="E33" s="6">
        <v>680</v>
      </c>
      <c r="F33" s="6">
        <v>744</v>
      </c>
      <c r="G33" s="6">
        <v>65</v>
      </c>
      <c r="H33" s="25">
        <v>115</v>
      </c>
      <c r="I33" s="25">
        <v>120</v>
      </c>
      <c r="J33" s="25">
        <v>27</v>
      </c>
      <c r="K33" s="6">
        <v>37</v>
      </c>
    </row>
    <row r="34" spans="1:11" ht="20.100000000000001" customHeight="1" x14ac:dyDescent="0.25">
      <c r="A34" s="45" t="s">
        <v>41</v>
      </c>
      <c r="B34" s="6" t="s">
        <v>24</v>
      </c>
      <c r="C34" s="14">
        <f t="shared" si="0"/>
        <v>1352</v>
      </c>
      <c r="D34" s="25">
        <v>1547</v>
      </c>
      <c r="E34" s="6">
        <v>680</v>
      </c>
      <c r="F34" s="6">
        <v>744</v>
      </c>
      <c r="G34" s="6">
        <v>65</v>
      </c>
      <c r="H34" s="25">
        <v>125</v>
      </c>
      <c r="I34" s="25">
        <v>130</v>
      </c>
      <c r="J34" s="25">
        <v>27</v>
      </c>
      <c r="K34" s="6">
        <v>37</v>
      </c>
    </row>
    <row r="35" spans="1:11" ht="20.100000000000001" customHeight="1" x14ac:dyDescent="0.25">
      <c r="A35" s="45" t="s">
        <v>42</v>
      </c>
      <c r="B35" s="6" t="s">
        <v>19</v>
      </c>
      <c r="C35" s="14">
        <f t="shared" si="0"/>
        <v>1587</v>
      </c>
      <c r="D35" s="25">
        <v>1747</v>
      </c>
      <c r="E35" s="6">
        <v>800</v>
      </c>
      <c r="F35" s="6">
        <v>844</v>
      </c>
      <c r="G35" s="6">
        <v>65</v>
      </c>
      <c r="H35" s="25">
        <v>90</v>
      </c>
      <c r="I35" s="25">
        <v>95</v>
      </c>
      <c r="J35" s="25">
        <v>17</v>
      </c>
      <c r="K35" s="6">
        <v>27</v>
      </c>
    </row>
    <row r="36" spans="1:11" ht="20.100000000000001" customHeight="1" x14ac:dyDescent="0.25">
      <c r="A36" s="45" t="s">
        <v>42</v>
      </c>
      <c r="B36" s="6" t="s">
        <v>20</v>
      </c>
      <c r="C36" s="5">
        <f t="shared" si="0"/>
        <v>1582</v>
      </c>
      <c r="D36" s="25">
        <v>1747</v>
      </c>
      <c r="E36" s="6">
        <v>800</v>
      </c>
      <c r="F36" s="6">
        <v>844</v>
      </c>
      <c r="G36" s="6">
        <v>65</v>
      </c>
      <c r="H36" s="25">
        <v>95</v>
      </c>
      <c r="I36" s="25">
        <v>100</v>
      </c>
      <c r="J36" s="25">
        <v>17</v>
      </c>
      <c r="K36" s="6">
        <v>27</v>
      </c>
    </row>
    <row r="37" spans="1:11" ht="20.100000000000001" customHeight="1" x14ac:dyDescent="0.25">
      <c r="A37" s="45" t="s">
        <v>42</v>
      </c>
      <c r="B37" s="6" t="s">
        <v>21</v>
      </c>
      <c r="C37" s="5">
        <f t="shared" si="0"/>
        <v>1577</v>
      </c>
      <c r="D37" s="25">
        <v>1747</v>
      </c>
      <c r="E37" s="6">
        <v>800</v>
      </c>
      <c r="F37" s="6">
        <v>844</v>
      </c>
      <c r="G37" s="6">
        <v>65</v>
      </c>
      <c r="H37" s="25">
        <v>100</v>
      </c>
      <c r="I37" s="25">
        <v>105</v>
      </c>
      <c r="J37" s="25">
        <v>17</v>
      </c>
      <c r="K37" s="6">
        <v>27</v>
      </c>
    </row>
    <row r="38" spans="1:11" ht="20.100000000000001" customHeight="1" x14ac:dyDescent="0.25">
      <c r="A38" s="45" t="s">
        <v>42</v>
      </c>
      <c r="B38" s="6" t="s">
        <v>22</v>
      </c>
      <c r="C38" s="5">
        <f t="shared" si="0"/>
        <v>1567</v>
      </c>
      <c r="D38" s="25">
        <v>1747</v>
      </c>
      <c r="E38" s="6">
        <v>800</v>
      </c>
      <c r="F38" s="6">
        <v>844</v>
      </c>
      <c r="G38" s="6">
        <v>65</v>
      </c>
      <c r="H38" s="25">
        <v>110</v>
      </c>
      <c r="I38" s="25">
        <v>115</v>
      </c>
      <c r="J38" s="25">
        <v>17</v>
      </c>
      <c r="K38" s="6">
        <v>27</v>
      </c>
    </row>
    <row r="39" spans="1:11" x14ac:dyDescent="0.25">
      <c r="A39" s="45" t="s">
        <v>42</v>
      </c>
      <c r="B39" s="6" t="s">
        <v>23</v>
      </c>
      <c r="C39" s="5">
        <f t="shared" ref="C39:C70" si="4">D39-G39-I39</f>
        <v>1562</v>
      </c>
      <c r="D39" s="25">
        <v>1747</v>
      </c>
      <c r="E39" s="6">
        <v>800</v>
      </c>
      <c r="F39" s="6">
        <v>844</v>
      </c>
      <c r="G39" s="5">
        <v>65</v>
      </c>
      <c r="H39" s="5">
        <v>115</v>
      </c>
      <c r="I39" s="5">
        <v>120</v>
      </c>
      <c r="J39" s="25">
        <v>17</v>
      </c>
      <c r="K39" s="6">
        <v>27</v>
      </c>
    </row>
    <row r="40" spans="1:11" ht="20.100000000000001" customHeight="1" x14ac:dyDescent="0.25">
      <c r="A40" s="45" t="s">
        <v>42</v>
      </c>
      <c r="B40" s="6" t="s">
        <v>24</v>
      </c>
      <c r="C40" s="5">
        <f t="shared" si="4"/>
        <v>1552</v>
      </c>
      <c r="D40" s="25">
        <v>1747</v>
      </c>
      <c r="E40" s="6">
        <v>800</v>
      </c>
      <c r="F40" s="6">
        <v>844</v>
      </c>
      <c r="G40" s="6">
        <v>65</v>
      </c>
      <c r="H40" s="6">
        <v>125</v>
      </c>
      <c r="I40" s="6">
        <v>130</v>
      </c>
      <c r="J40" s="25">
        <v>17</v>
      </c>
      <c r="K40" s="6">
        <v>27</v>
      </c>
    </row>
    <row r="41" spans="1:11" ht="20.100000000000001" customHeight="1" x14ac:dyDescent="0.25">
      <c r="A41" s="45" t="s">
        <v>42</v>
      </c>
      <c r="B41" s="6" t="s">
        <v>25</v>
      </c>
      <c r="C41" s="5">
        <f t="shared" si="4"/>
        <v>1537</v>
      </c>
      <c r="D41" s="25">
        <v>1747</v>
      </c>
      <c r="E41" s="6">
        <v>800</v>
      </c>
      <c r="F41" s="6">
        <v>844</v>
      </c>
      <c r="G41" s="6">
        <v>65</v>
      </c>
      <c r="H41" s="6">
        <v>140</v>
      </c>
      <c r="I41" s="6">
        <v>145</v>
      </c>
      <c r="J41" s="25">
        <v>17</v>
      </c>
      <c r="K41" s="6">
        <v>27</v>
      </c>
    </row>
    <row r="42" spans="1:11" ht="20.100000000000001" customHeight="1" x14ac:dyDescent="0.25">
      <c r="A42" s="45" t="s">
        <v>43</v>
      </c>
      <c r="B42" s="6" t="s">
        <v>19</v>
      </c>
      <c r="C42" s="5">
        <f t="shared" si="4"/>
        <v>1787</v>
      </c>
      <c r="D42" s="25">
        <v>1947</v>
      </c>
      <c r="E42" s="6">
        <v>880</v>
      </c>
      <c r="F42" s="6">
        <v>944</v>
      </c>
      <c r="G42" s="6">
        <v>65</v>
      </c>
      <c r="H42" s="6">
        <v>90</v>
      </c>
      <c r="I42" s="6">
        <v>95</v>
      </c>
      <c r="J42" s="25">
        <v>27</v>
      </c>
      <c r="K42" s="6">
        <v>37</v>
      </c>
    </row>
    <row r="43" spans="1:11" ht="20.100000000000001" customHeight="1" x14ac:dyDescent="0.25">
      <c r="A43" s="45" t="s">
        <v>43</v>
      </c>
      <c r="B43" s="6" t="s">
        <v>20</v>
      </c>
      <c r="C43" s="5">
        <f t="shared" si="4"/>
        <v>1782</v>
      </c>
      <c r="D43" s="25">
        <v>1947</v>
      </c>
      <c r="E43" s="6">
        <v>880</v>
      </c>
      <c r="F43" s="6">
        <v>944</v>
      </c>
      <c r="G43" s="6">
        <v>65</v>
      </c>
      <c r="H43" s="6">
        <v>95</v>
      </c>
      <c r="I43" s="6">
        <v>100</v>
      </c>
      <c r="J43" s="25">
        <v>27</v>
      </c>
      <c r="K43" s="6">
        <v>37</v>
      </c>
    </row>
    <row r="44" spans="1:11" ht="20.100000000000001" customHeight="1" x14ac:dyDescent="0.25">
      <c r="A44" s="45" t="s">
        <v>43</v>
      </c>
      <c r="B44" s="6" t="s">
        <v>21</v>
      </c>
      <c r="C44" s="5">
        <f t="shared" si="4"/>
        <v>1777</v>
      </c>
      <c r="D44" s="25">
        <v>1947</v>
      </c>
      <c r="E44" s="6">
        <v>880</v>
      </c>
      <c r="F44" s="6">
        <v>944</v>
      </c>
      <c r="G44" s="6">
        <v>65</v>
      </c>
      <c r="H44" s="6">
        <v>100</v>
      </c>
      <c r="I44" s="6">
        <v>105</v>
      </c>
      <c r="J44" s="25">
        <v>27</v>
      </c>
      <c r="K44" s="6">
        <v>37</v>
      </c>
    </row>
    <row r="45" spans="1:11" ht="20.100000000000001" customHeight="1" x14ac:dyDescent="0.25">
      <c r="A45" s="71" t="s">
        <v>43</v>
      </c>
      <c r="B45" s="72" t="s">
        <v>22</v>
      </c>
      <c r="C45" s="73">
        <f t="shared" si="4"/>
        <v>1767</v>
      </c>
      <c r="D45" s="72">
        <v>1947</v>
      </c>
      <c r="E45" s="72">
        <v>880</v>
      </c>
      <c r="F45" s="72">
        <v>944</v>
      </c>
      <c r="G45" s="72">
        <v>65</v>
      </c>
      <c r="H45" s="72">
        <v>110</v>
      </c>
      <c r="I45" s="72">
        <v>115</v>
      </c>
      <c r="J45" s="72">
        <v>27</v>
      </c>
      <c r="K45" s="72">
        <v>37</v>
      </c>
    </row>
    <row r="46" spans="1:11" ht="20.100000000000001" customHeight="1" x14ac:dyDescent="0.25">
      <c r="A46" s="45" t="s">
        <v>43</v>
      </c>
      <c r="B46" s="6" t="s">
        <v>23</v>
      </c>
      <c r="C46" s="5">
        <f t="shared" si="4"/>
        <v>1762</v>
      </c>
      <c r="D46" s="25">
        <v>1947</v>
      </c>
      <c r="E46" s="6">
        <v>880</v>
      </c>
      <c r="F46" s="6">
        <v>944</v>
      </c>
      <c r="G46" s="6">
        <v>65</v>
      </c>
      <c r="H46" s="6">
        <v>115</v>
      </c>
      <c r="I46" s="6">
        <v>120</v>
      </c>
      <c r="J46" s="25">
        <v>27</v>
      </c>
      <c r="K46" s="6">
        <v>37</v>
      </c>
    </row>
    <row r="47" spans="1:11" ht="20.100000000000001" customHeight="1" x14ac:dyDescent="0.25">
      <c r="A47" s="45" t="s">
        <v>43</v>
      </c>
      <c r="B47" s="6" t="s">
        <v>24</v>
      </c>
      <c r="C47" s="5">
        <f t="shared" si="4"/>
        <v>1752</v>
      </c>
      <c r="D47" s="25">
        <v>1947</v>
      </c>
      <c r="E47" s="6">
        <v>880</v>
      </c>
      <c r="F47" s="6">
        <v>944</v>
      </c>
      <c r="G47" s="6">
        <v>65</v>
      </c>
      <c r="H47" s="6">
        <v>125</v>
      </c>
      <c r="I47" s="6">
        <v>130</v>
      </c>
      <c r="J47" s="25">
        <v>27</v>
      </c>
      <c r="K47" s="6">
        <v>37</v>
      </c>
    </row>
    <row r="48" spans="1:11" ht="20.100000000000001" customHeight="1" x14ac:dyDescent="0.25">
      <c r="A48" s="45" t="s">
        <v>43</v>
      </c>
      <c r="B48" s="6" t="s">
        <v>25</v>
      </c>
      <c r="C48" s="5">
        <f t="shared" si="4"/>
        <v>1737</v>
      </c>
      <c r="D48" s="25">
        <v>1947</v>
      </c>
      <c r="E48" s="6">
        <v>880</v>
      </c>
      <c r="F48" s="6">
        <v>944</v>
      </c>
      <c r="G48" s="6">
        <v>65</v>
      </c>
      <c r="H48" s="6">
        <v>140</v>
      </c>
      <c r="I48" s="6">
        <v>145</v>
      </c>
      <c r="J48" s="25">
        <v>27</v>
      </c>
      <c r="K48" s="6">
        <v>37</v>
      </c>
    </row>
    <row r="49" spans="1:11" ht="20.100000000000001" customHeight="1" x14ac:dyDescent="0.25">
      <c r="A49" s="45" t="s">
        <v>44</v>
      </c>
      <c r="B49" s="6" t="s">
        <v>19</v>
      </c>
      <c r="C49" s="5">
        <f t="shared" si="4"/>
        <v>1987</v>
      </c>
      <c r="D49" s="25">
        <v>2147</v>
      </c>
      <c r="E49" s="6">
        <v>1000</v>
      </c>
      <c r="F49" s="6">
        <v>1044</v>
      </c>
      <c r="G49" s="6">
        <v>65</v>
      </c>
      <c r="H49" s="6">
        <v>90</v>
      </c>
      <c r="I49" s="6">
        <v>95</v>
      </c>
      <c r="J49" s="25">
        <v>17</v>
      </c>
      <c r="K49" s="6">
        <v>27</v>
      </c>
    </row>
    <row r="50" spans="1:11" ht="20.100000000000001" customHeight="1" x14ac:dyDescent="0.25">
      <c r="A50" s="45" t="s">
        <v>44</v>
      </c>
      <c r="B50" s="6" t="s">
        <v>20</v>
      </c>
      <c r="C50" s="5">
        <f t="shared" si="4"/>
        <v>1982</v>
      </c>
      <c r="D50" s="25">
        <v>2147</v>
      </c>
      <c r="E50" s="6">
        <v>1000</v>
      </c>
      <c r="F50" s="6">
        <v>1044</v>
      </c>
      <c r="G50" s="6">
        <v>65</v>
      </c>
      <c r="H50" s="6">
        <v>95</v>
      </c>
      <c r="I50" s="6">
        <v>100</v>
      </c>
      <c r="J50" s="25">
        <v>17</v>
      </c>
      <c r="K50" s="6">
        <v>27</v>
      </c>
    </row>
    <row r="51" spans="1:11" ht="20.100000000000001" customHeight="1" x14ac:dyDescent="0.25">
      <c r="A51" s="45" t="s">
        <v>44</v>
      </c>
      <c r="B51" s="6" t="s">
        <v>21</v>
      </c>
      <c r="C51" s="5">
        <f t="shared" si="4"/>
        <v>1977</v>
      </c>
      <c r="D51" s="25">
        <v>2147</v>
      </c>
      <c r="E51" s="6">
        <v>1000</v>
      </c>
      <c r="F51" s="6">
        <v>1044</v>
      </c>
      <c r="G51" s="6">
        <v>65</v>
      </c>
      <c r="H51" s="6">
        <v>100</v>
      </c>
      <c r="I51" s="6">
        <v>105</v>
      </c>
      <c r="J51" s="25">
        <v>17</v>
      </c>
      <c r="K51" s="6">
        <v>27</v>
      </c>
    </row>
    <row r="52" spans="1:11" ht="20.100000000000001" customHeight="1" x14ac:dyDescent="0.25">
      <c r="A52" s="45" t="s">
        <v>44</v>
      </c>
      <c r="B52" s="6" t="s">
        <v>22</v>
      </c>
      <c r="C52" s="5">
        <f t="shared" si="4"/>
        <v>1967</v>
      </c>
      <c r="D52" s="25">
        <v>2147</v>
      </c>
      <c r="E52" s="6">
        <v>1000</v>
      </c>
      <c r="F52" s="6">
        <v>1044</v>
      </c>
      <c r="G52" s="6">
        <v>65</v>
      </c>
      <c r="H52" s="6">
        <v>110</v>
      </c>
      <c r="I52" s="6">
        <v>115</v>
      </c>
      <c r="J52" s="25">
        <v>17</v>
      </c>
      <c r="K52" s="6">
        <v>27</v>
      </c>
    </row>
    <row r="53" spans="1:11" ht="20.100000000000001" customHeight="1" x14ac:dyDescent="0.25">
      <c r="A53" s="45" t="s">
        <v>44</v>
      </c>
      <c r="B53" s="6" t="s">
        <v>23</v>
      </c>
      <c r="C53" s="5">
        <f t="shared" si="4"/>
        <v>1962</v>
      </c>
      <c r="D53" s="25">
        <v>2147</v>
      </c>
      <c r="E53" s="6">
        <v>1000</v>
      </c>
      <c r="F53" s="6">
        <v>1044</v>
      </c>
      <c r="G53" s="6">
        <v>65</v>
      </c>
      <c r="H53" s="6">
        <v>115</v>
      </c>
      <c r="I53" s="6">
        <v>120</v>
      </c>
      <c r="J53" s="25">
        <v>17</v>
      </c>
      <c r="K53" s="6">
        <v>27</v>
      </c>
    </row>
    <row r="54" spans="1:11" ht="20.100000000000001" customHeight="1" x14ac:dyDescent="0.25">
      <c r="A54" s="45" t="s">
        <v>44</v>
      </c>
      <c r="B54" s="6" t="s">
        <v>24</v>
      </c>
      <c r="C54" s="5">
        <f t="shared" si="4"/>
        <v>1952</v>
      </c>
      <c r="D54" s="25">
        <v>2147</v>
      </c>
      <c r="E54" s="6">
        <v>1000</v>
      </c>
      <c r="F54" s="6">
        <v>1044</v>
      </c>
      <c r="G54" s="6">
        <v>65</v>
      </c>
      <c r="H54" s="6">
        <v>125</v>
      </c>
      <c r="I54" s="6">
        <v>130</v>
      </c>
      <c r="J54" s="25">
        <v>17</v>
      </c>
      <c r="K54" s="6">
        <v>27</v>
      </c>
    </row>
    <row r="55" spans="1:11" ht="20.100000000000001" customHeight="1" x14ac:dyDescent="0.25">
      <c r="A55" s="45" t="s">
        <v>44</v>
      </c>
      <c r="B55" s="6" t="s">
        <v>25</v>
      </c>
      <c r="C55" s="5">
        <f t="shared" si="4"/>
        <v>1937</v>
      </c>
      <c r="D55" s="25">
        <v>2147</v>
      </c>
      <c r="E55" s="6">
        <v>1000</v>
      </c>
      <c r="F55" s="6">
        <v>1044</v>
      </c>
      <c r="G55" s="6">
        <v>65</v>
      </c>
      <c r="H55" s="6">
        <v>140</v>
      </c>
      <c r="I55" s="6">
        <v>145</v>
      </c>
      <c r="J55" s="25">
        <v>17</v>
      </c>
      <c r="K55" s="6">
        <v>27</v>
      </c>
    </row>
    <row r="56" spans="1:11" ht="20.100000000000001" customHeight="1" x14ac:dyDescent="0.25">
      <c r="A56" s="45" t="s">
        <v>45</v>
      </c>
      <c r="B56" s="6" t="s">
        <v>19</v>
      </c>
      <c r="C56" s="5">
        <f t="shared" si="4"/>
        <v>2187</v>
      </c>
      <c r="D56" s="25">
        <v>2347</v>
      </c>
      <c r="E56" s="6">
        <v>1080</v>
      </c>
      <c r="F56" s="6">
        <v>1144</v>
      </c>
      <c r="G56" s="6">
        <v>65</v>
      </c>
      <c r="H56" s="6">
        <v>90</v>
      </c>
      <c r="I56" s="6">
        <v>95</v>
      </c>
      <c r="J56" s="25">
        <v>27</v>
      </c>
      <c r="K56" s="6">
        <v>37</v>
      </c>
    </row>
    <row r="57" spans="1:11" ht="20.100000000000001" customHeight="1" x14ac:dyDescent="0.25">
      <c r="A57" s="45" t="s">
        <v>45</v>
      </c>
      <c r="B57" s="6" t="s">
        <v>20</v>
      </c>
      <c r="C57" s="5">
        <f t="shared" si="4"/>
        <v>2182</v>
      </c>
      <c r="D57" s="25">
        <v>2347</v>
      </c>
      <c r="E57" s="6">
        <v>1080</v>
      </c>
      <c r="F57" s="6">
        <v>1144</v>
      </c>
      <c r="G57" s="6">
        <v>65</v>
      </c>
      <c r="H57" s="6">
        <v>95</v>
      </c>
      <c r="I57" s="6">
        <v>100</v>
      </c>
      <c r="J57" s="25">
        <v>27</v>
      </c>
      <c r="K57" s="6">
        <v>37</v>
      </c>
    </row>
    <row r="58" spans="1:11" ht="20.100000000000001" customHeight="1" x14ac:dyDescent="0.25">
      <c r="A58" s="45" t="s">
        <v>45</v>
      </c>
      <c r="B58" s="6" t="s">
        <v>21</v>
      </c>
      <c r="C58" s="5">
        <f t="shared" si="4"/>
        <v>2177</v>
      </c>
      <c r="D58" s="25">
        <v>2347</v>
      </c>
      <c r="E58" s="6">
        <v>1080</v>
      </c>
      <c r="F58" s="6">
        <v>1144</v>
      </c>
      <c r="G58" s="6">
        <v>65</v>
      </c>
      <c r="H58" s="6">
        <v>100</v>
      </c>
      <c r="I58" s="6">
        <v>105</v>
      </c>
      <c r="J58" s="25">
        <v>27</v>
      </c>
      <c r="K58" s="6">
        <v>37</v>
      </c>
    </row>
    <row r="59" spans="1:11" ht="20.100000000000001" customHeight="1" x14ac:dyDescent="0.25">
      <c r="A59" s="45" t="s">
        <v>45</v>
      </c>
      <c r="B59" s="6" t="s">
        <v>22</v>
      </c>
      <c r="C59" s="5">
        <f t="shared" si="4"/>
        <v>2167</v>
      </c>
      <c r="D59" s="25">
        <v>2347</v>
      </c>
      <c r="E59" s="6">
        <v>1080</v>
      </c>
      <c r="F59" s="6">
        <v>1144</v>
      </c>
      <c r="G59" s="6">
        <v>65</v>
      </c>
      <c r="H59" s="6">
        <v>110</v>
      </c>
      <c r="I59" s="6">
        <v>115</v>
      </c>
      <c r="J59" s="25">
        <v>27</v>
      </c>
      <c r="K59" s="6">
        <v>37</v>
      </c>
    </row>
    <row r="60" spans="1:11" ht="20.100000000000001" customHeight="1" x14ac:dyDescent="0.25">
      <c r="A60" s="45" t="s">
        <v>45</v>
      </c>
      <c r="B60" s="6" t="s">
        <v>23</v>
      </c>
      <c r="C60" s="5">
        <f t="shared" si="4"/>
        <v>2162</v>
      </c>
      <c r="D60" s="25">
        <v>2347</v>
      </c>
      <c r="E60" s="6">
        <v>1080</v>
      </c>
      <c r="F60" s="6">
        <v>1144</v>
      </c>
      <c r="G60" s="6">
        <v>65</v>
      </c>
      <c r="H60" s="6">
        <v>115</v>
      </c>
      <c r="I60" s="6">
        <v>120</v>
      </c>
      <c r="J60" s="25">
        <v>27</v>
      </c>
      <c r="K60" s="6">
        <v>37</v>
      </c>
    </row>
    <row r="61" spans="1:11" ht="20.100000000000001" customHeight="1" x14ac:dyDescent="0.25">
      <c r="A61" s="45" t="s">
        <v>45</v>
      </c>
      <c r="B61" s="6" t="s">
        <v>24</v>
      </c>
      <c r="C61" s="5">
        <f t="shared" si="4"/>
        <v>2152</v>
      </c>
      <c r="D61" s="25">
        <v>2347</v>
      </c>
      <c r="E61" s="6">
        <v>1080</v>
      </c>
      <c r="F61" s="6">
        <v>1144</v>
      </c>
      <c r="G61" s="6">
        <v>65</v>
      </c>
      <c r="H61" s="6">
        <v>125</v>
      </c>
      <c r="I61" s="6">
        <v>130</v>
      </c>
      <c r="J61" s="25">
        <v>27</v>
      </c>
      <c r="K61" s="6">
        <v>37</v>
      </c>
    </row>
    <row r="62" spans="1:11" ht="20.100000000000001" customHeight="1" x14ac:dyDescent="0.25">
      <c r="A62" s="45" t="s">
        <v>45</v>
      </c>
      <c r="B62" s="6" t="s">
        <v>25</v>
      </c>
      <c r="C62" s="5">
        <f t="shared" si="4"/>
        <v>2137</v>
      </c>
      <c r="D62" s="25">
        <v>2347</v>
      </c>
      <c r="E62" s="6">
        <v>1080</v>
      </c>
      <c r="F62" s="6">
        <v>1144</v>
      </c>
      <c r="G62" s="6">
        <v>65</v>
      </c>
      <c r="H62" s="6">
        <v>140</v>
      </c>
      <c r="I62" s="6">
        <v>145</v>
      </c>
      <c r="J62" s="25">
        <v>27</v>
      </c>
      <c r="K62" s="6">
        <v>37</v>
      </c>
    </row>
    <row r="63" spans="1:11" ht="20.100000000000001" customHeight="1" x14ac:dyDescent="0.25">
      <c r="A63" s="45" t="s">
        <v>45</v>
      </c>
      <c r="B63" s="6" t="s">
        <v>26</v>
      </c>
      <c r="C63" s="5">
        <f t="shared" si="4"/>
        <v>2122</v>
      </c>
      <c r="D63" s="25">
        <v>2347</v>
      </c>
      <c r="E63" s="6">
        <v>1080</v>
      </c>
      <c r="F63" s="6">
        <v>1144</v>
      </c>
      <c r="G63" s="6">
        <v>65</v>
      </c>
      <c r="H63" s="6">
        <v>155</v>
      </c>
      <c r="I63" s="6">
        <v>160</v>
      </c>
      <c r="J63" s="25">
        <v>27</v>
      </c>
      <c r="K63" s="6">
        <v>37</v>
      </c>
    </row>
    <row r="64" spans="1:11" ht="20.100000000000001" customHeight="1" x14ac:dyDescent="0.25">
      <c r="A64" s="45" t="s">
        <v>45</v>
      </c>
      <c r="B64" s="6" t="s">
        <v>15</v>
      </c>
      <c r="C64" s="5">
        <f t="shared" si="4"/>
        <v>2097</v>
      </c>
      <c r="D64" s="25">
        <v>2347</v>
      </c>
      <c r="E64" s="6">
        <v>1080</v>
      </c>
      <c r="F64" s="6">
        <v>1144</v>
      </c>
      <c r="G64" s="6">
        <v>65</v>
      </c>
      <c r="H64" s="6">
        <v>173</v>
      </c>
      <c r="I64" s="6">
        <v>185</v>
      </c>
      <c r="J64" s="25">
        <v>27</v>
      </c>
      <c r="K64" s="6">
        <v>37</v>
      </c>
    </row>
    <row r="65" spans="1:11" ht="20.100000000000001" customHeight="1" x14ac:dyDescent="0.25">
      <c r="A65" s="45" t="s">
        <v>46</v>
      </c>
      <c r="B65" s="6" t="s">
        <v>19</v>
      </c>
      <c r="C65" s="5">
        <f t="shared" si="4"/>
        <v>2487</v>
      </c>
      <c r="D65" s="25">
        <v>2647</v>
      </c>
      <c r="E65" s="6">
        <v>1200</v>
      </c>
      <c r="F65" s="6">
        <v>1244</v>
      </c>
      <c r="G65" s="6">
        <v>65</v>
      </c>
      <c r="H65" s="6">
        <v>90</v>
      </c>
      <c r="I65" s="6">
        <v>95</v>
      </c>
      <c r="J65" s="25">
        <v>17</v>
      </c>
      <c r="K65" s="6">
        <v>27</v>
      </c>
    </row>
    <row r="66" spans="1:11" ht="20.100000000000001" customHeight="1" x14ac:dyDescent="0.25">
      <c r="A66" s="45" t="s">
        <v>46</v>
      </c>
      <c r="B66" s="6" t="s">
        <v>20</v>
      </c>
      <c r="C66" s="5">
        <f t="shared" si="4"/>
        <v>2482</v>
      </c>
      <c r="D66" s="25">
        <v>2647</v>
      </c>
      <c r="E66" s="6">
        <v>1200</v>
      </c>
      <c r="F66" s="6">
        <v>1244</v>
      </c>
      <c r="G66" s="6">
        <v>65</v>
      </c>
      <c r="H66" s="6">
        <v>95</v>
      </c>
      <c r="I66" s="6">
        <v>100</v>
      </c>
      <c r="J66" s="25">
        <v>17</v>
      </c>
      <c r="K66" s="6">
        <v>27</v>
      </c>
    </row>
    <row r="67" spans="1:11" ht="20.100000000000001" customHeight="1" x14ac:dyDescent="0.25">
      <c r="A67" s="45" t="s">
        <v>46</v>
      </c>
      <c r="B67" s="6" t="s">
        <v>21</v>
      </c>
      <c r="C67" s="5">
        <f t="shared" si="4"/>
        <v>2477</v>
      </c>
      <c r="D67" s="25">
        <v>2647</v>
      </c>
      <c r="E67" s="6">
        <v>1200</v>
      </c>
      <c r="F67" s="6">
        <v>1244</v>
      </c>
      <c r="G67" s="6">
        <v>65</v>
      </c>
      <c r="H67" s="6">
        <v>100</v>
      </c>
      <c r="I67" s="6">
        <v>105</v>
      </c>
      <c r="J67" s="25">
        <v>17</v>
      </c>
      <c r="K67" s="6">
        <v>27</v>
      </c>
    </row>
    <row r="68" spans="1:11" ht="20.100000000000001" customHeight="1" x14ac:dyDescent="0.25">
      <c r="A68" s="45" t="s">
        <v>46</v>
      </c>
      <c r="B68" s="6" t="s">
        <v>22</v>
      </c>
      <c r="C68" s="5">
        <f t="shared" si="4"/>
        <v>2467</v>
      </c>
      <c r="D68" s="25">
        <v>2647</v>
      </c>
      <c r="E68" s="6">
        <v>1200</v>
      </c>
      <c r="F68" s="6">
        <v>1244</v>
      </c>
      <c r="G68" s="6">
        <v>65</v>
      </c>
      <c r="H68" s="6">
        <v>110</v>
      </c>
      <c r="I68" s="6">
        <v>115</v>
      </c>
      <c r="J68" s="25">
        <v>17</v>
      </c>
      <c r="K68" s="6">
        <v>27</v>
      </c>
    </row>
    <row r="69" spans="1:11" ht="20.100000000000001" customHeight="1" x14ac:dyDescent="0.25">
      <c r="A69" s="45" t="s">
        <v>46</v>
      </c>
      <c r="B69" s="6" t="s">
        <v>23</v>
      </c>
      <c r="C69" s="5">
        <f t="shared" si="4"/>
        <v>2462</v>
      </c>
      <c r="D69" s="25">
        <v>2647</v>
      </c>
      <c r="E69" s="6">
        <v>1200</v>
      </c>
      <c r="F69" s="6">
        <v>1244</v>
      </c>
      <c r="G69" s="6">
        <v>65</v>
      </c>
      <c r="H69" s="6">
        <v>115</v>
      </c>
      <c r="I69" s="6">
        <v>120</v>
      </c>
      <c r="J69" s="25">
        <v>17</v>
      </c>
      <c r="K69" s="6">
        <v>27</v>
      </c>
    </row>
    <row r="70" spans="1:11" ht="20.100000000000001" customHeight="1" x14ac:dyDescent="0.25">
      <c r="A70" s="45" t="s">
        <v>46</v>
      </c>
      <c r="B70" s="6" t="s">
        <v>24</v>
      </c>
      <c r="C70" s="5">
        <f t="shared" si="4"/>
        <v>2452</v>
      </c>
      <c r="D70" s="25">
        <v>2647</v>
      </c>
      <c r="E70" s="6">
        <v>1200</v>
      </c>
      <c r="F70" s="6">
        <v>1244</v>
      </c>
      <c r="G70" s="6">
        <v>65</v>
      </c>
      <c r="H70" s="6">
        <v>125</v>
      </c>
      <c r="I70" s="6">
        <v>130</v>
      </c>
      <c r="J70" s="25">
        <v>17</v>
      </c>
      <c r="K70" s="6">
        <v>27</v>
      </c>
    </row>
    <row r="71" spans="1:11" ht="20.100000000000001" customHeight="1" x14ac:dyDescent="0.25">
      <c r="A71" s="45" t="s">
        <v>46</v>
      </c>
      <c r="B71" s="6" t="s">
        <v>25</v>
      </c>
      <c r="C71" s="5">
        <f t="shared" ref="C71:C91" si="5">D71-G71-I71</f>
        <v>2437</v>
      </c>
      <c r="D71" s="25">
        <v>2647</v>
      </c>
      <c r="E71" s="6">
        <v>1200</v>
      </c>
      <c r="F71" s="6">
        <v>1244</v>
      </c>
      <c r="G71" s="6">
        <v>65</v>
      </c>
      <c r="H71" s="6">
        <v>140</v>
      </c>
      <c r="I71" s="6">
        <v>145</v>
      </c>
      <c r="J71" s="25">
        <v>17</v>
      </c>
      <c r="K71" s="6">
        <v>27</v>
      </c>
    </row>
    <row r="72" spans="1:11" ht="20.100000000000001" customHeight="1" x14ac:dyDescent="0.25">
      <c r="A72" s="45" t="s">
        <v>46</v>
      </c>
      <c r="B72" s="6" t="s">
        <v>26</v>
      </c>
      <c r="C72" s="5">
        <f t="shared" si="5"/>
        <v>2422</v>
      </c>
      <c r="D72" s="25">
        <v>2647</v>
      </c>
      <c r="E72" s="6">
        <v>1200</v>
      </c>
      <c r="F72" s="6">
        <v>1244</v>
      </c>
      <c r="G72" s="6">
        <v>65</v>
      </c>
      <c r="H72" s="6">
        <v>155</v>
      </c>
      <c r="I72" s="6">
        <v>160</v>
      </c>
      <c r="J72" s="25">
        <v>17</v>
      </c>
      <c r="K72" s="6">
        <v>27</v>
      </c>
    </row>
    <row r="73" spans="1:11" ht="20.100000000000001" customHeight="1" x14ac:dyDescent="0.25">
      <c r="A73" s="45" t="s">
        <v>46</v>
      </c>
      <c r="B73" s="6" t="s">
        <v>15</v>
      </c>
      <c r="C73" s="5">
        <f t="shared" si="5"/>
        <v>2397</v>
      </c>
      <c r="D73" s="25">
        <v>2647</v>
      </c>
      <c r="E73" s="6">
        <v>1200</v>
      </c>
      <c r="F73" s="6">
        <v>1244</v>
      </c>
      <c r="G73" s="6">
        <v>65</v>
      </c>
      <c r="H73" s="6">
        <v>173</v>
      </c>
      <c r="I73" s="6">
        <v>185</v>
      </c>
      <c r="J73" s="25">
        <v>17</v>
      </c>
      <c r="K73" s="6">
        <v>27</v>
      </c>
    </row>
    <row r="74" spans="1:11" ht="20.100000000000001" customHeight="1" x14ac:dyDescent="0.25">
      <c r="A74" s="45" t="s">
        <v>47</v>
      </c>
      <c r="B74" s="6" t="s">
        <v>19</v>
      </c>
      <c r="C74" s="5">
        <f t="shared" si="5"/>
        <v>2687</v>
      </c>
      <c r="D74" s="25">
        <v>2847</v>
      </c>
      <c r="E74" s="6">
        <v>1280</v>
      </c>
      <c r="F74" s="6">
        <v>1344</v>
      </c>
      <c r="G74" s="6">
        <v>65</v>
      </c>
      <c r="H74" s="6">
        <v>90</v>
      </c>
      <c r="I74" s="6">
        <v>95</v>
      </c>
      <c r="J74" s="25">
        <v>27</v>
      </c>
      <c r="K74" s="6">
        <v>37</v>
      </c>
    </row>
    <row r="75" spans="1:11" ht="20.100000000000001" customHeight="1" x14ac:dyDescent="0.25">
      <c r="A75" s="45" t="s">
        <v>47</v>
      </c>
      <c r="B75" s="6" t="s">
        <v>20</v>
      </c>
      <c r="C75" s="5">
        <f t="shared" si="5"/>
        <v>2682</v>
      </c>
      <c r="D75" s="25">
        <v>2847</v>
      </c>
      <c r="E75" s="6">
        <v>1280</v>
      </c>
      <c r="F75" s="6">
        <v>1344</v>
      </c>
      <c r="G75" s="6">
        <v>65</v>
      </c>
      <c r="H75" s="6">
        <v>95</v>
      </c>
      <c r="I75" s="6">
        <v>100</v>
      </c>
      <c r="J75" s="25">
        <v>27</v>
      </c>
      <c r="K75" s="6">
        <v>37</v>
      </c>
    </row>
    <row r="76" spans="1:11" ht="20.100000000000001" customHeight="1" x14ac:dyDescent="0.25">
      <c r="A76" s="45" t="s">
        <v>47</v>
      </c>
      <c r="B76" s="6" t="s">
        <v>21</v>
      </c>
      <c r="C76" s="5">
        <f t="shared" si="5"/>
        <v>2677</v>
      </c>
      <c r="D76" s="25">
        <v>2847</v>
      </c>
      <c r="E76" s="6">
        <v>1280</v>
      </c>
      <c r="F76" s="6">
        <v>1344</v>
      </c>
      <c r="G76" s="6">
        <v>65</v>
      </c>
      <c r="H76" s="6">
        <v>100</v>
      </c>
      <c r="I76" s="6">
        <v>105</v>
      </c>
      <c r="J76" s="25">
        <v>27</v>
      </c>
      <c r="K76" s="6">
        <v>37</v>
      </c>
    </row>
    <row r="77" spans="1:11" x14ac:dyDescent="0.25">
      <c r="A77" s="45" t="s">
        <v>47</v>
      </c>
      <c r="B77" s="6" t="s">
        <v>22</v>
      </c>
      <c r="C77" s="5">
        <f t="shared" si="5"/>
        <v>2667</v>
      </c>
      <c r="D77" s="25">
        <v>2847</v>
      </c>
      <c r="E77" s="6">
        <v>1280</v>
      </c>
      <c r="F77" s="6">
        <v>1344</v>
      </c>
      <c r="G77" s="6">
        <v>65</v>
      </c>
      <c r="H77" s="6">
        <v>110</v>
      </c>
      <c r="I77" s="6">
        <v>115</v>
      </c>
      <c r="J77" s="25">
        <v>27</v>
      </c>
      <c r="K77" s="6">
        <v>37</v>
      </c>
    </row>
    <row r="78" spans="1:11" ht="20.100000000000001" customHeight="1" x14ac:dyDescent="0.25">
      <c r="A78" s="45" t="s">
        <v>47</v>
      </c>
      <c r="B78" s="6" t="s">
        <v>23</v>
      </c>
      <c r="C78" s="5">
        <f t="shared" si="5"/>
        <v>2662</v>
      </c>
      <c r="D78" s="25">
        <v>2847</v>
      </c>
      <c r="E78" s="6">
        <v>1280</v>
      </c>
      <c r="F78" s="6">
        <v>1344</v>
      </c>
      <c r="G78" s="6">
        <v>65</v>
      </c>
      <c r="H78" s="6">
        <v>115</v>
      </c>
      <c r="I78" s="6">
        <v>120</v>
      </c>
      <c r="J78" s="25">
        <v>27</v>
      </c>
      <c r="K78" s="6">
        <v>37</v>
      </c>
    </row>
    <row r="79" spans="1:11" ht="20.100000000000001" customHeight="1" x14ac:dyDescent="0.25">
      <c r="A79" s="45" t="s">
        <v>47</v>
      </c>
      <c r="B79" s="6" t="s">
        <v>24</v>
      </c>
      <c r="C79" s="5">
        <f t="shared" si="5"/>
        <v>2652</v>
      </c>
      <c r="D79" s="25">
        <v>2847</v>
      </c>
      <c r="E79" s="6">
        <v>1280</v>
      </c>
      <c r="F79" s="6">
        <v>1344</v>
      </c>
      <c r="G79" s="6">
        <v>65</v>
      </c>
      <c r="H79" s="6">
        <v>125</v>
      </c>
      <c r="I79" s="6">
        <v>130</v>
      </c>
      <c r="J79" s="25">
        <v>27</v>
      </c>
      <c r="K79" s="6">
        <v>37</v>
      </c>
    </row>
    <row r="80" spans="1:11" ht="20.100000000000001" customHeight="1" x14ac:dyDescent="0.25">
      <c r="A80" s="45" t="s">
        <v>47</v>
      </c>
      <c r="B80" s="6" t="s">
        <v>25</v>
      </c>
      <c r="C80" s="5">
        <f t="shared" si="5"/>
        <v>2637</v>
      </c>
      <c r="D80" s="25">
        <v>2847</v>
      </c>
      <c r="E80" s="6">
        <v>1280</v>
      </c>
      <c r="F80" s="6">
        <v>1344</v>
      </c>
      <c r="G80" s="6">
        <v>65</v>
      </c>
      <c r="H80" s="6">
        <v>140</v>
      </c>
      <c r="I80" s="6">
        <v>145</v>
      </c>
      <c r="J80" s="25">
        <v>27</v>
      </c>
      <c r="K80" s="6">
        <v>37</v>
      </c>
    </row>
    <row r="81" spans="1:11" ht="20.100000000000001" customHeight="1" x14ac:dyDescent="0.25">
      <c r="A81" s="45" t="s">
        <v>47</v>
      </c>
      <c r="B81" s="6" t="s">
        <v>26</v>
      </c>
      <c r="C81" s="5">
        <f t="shared" si="5"/>
        <v>2622</v>
      </c>
      <c r="D81" s="25">
        <v>2847</v>
      </c>
      <c r="E81" s="6">
        <v>1280</v>
      </c>
      <c r="F81" s="6">
        <v>1344</v>
      </c>
      <c r="G81" s="6">
        <v>65</v>
      </c>
      <c r="H81" s="6">
        <v>155</v>
      </c>
      <c r="I81" s="6">
        <v>160</v>
      </c>
      <c r="J81" s="25">
        <v>27</v>
      </c>
      <c r="K81" s="6">
        <v>37</v>
      </c>
    </row>
    <row r="82" spans="1:11" ht="20.100000000000001" customHeight="1" x14ac:dyDescent="0.25">
      <c r="A82" s="45" t="s">
        <v>47</v>
      </c>
      <c r="B82" s="6" t="s">
        <v>15</v>
      </c>
      <c r="C82" s="5">
        <f t="shared" si="5"/>
        <v>2597</v>
      </c>
      <c r="D82" s="25">
        <v>2847</v>
      </c>
      <c r="E82" s="6">
        <v>1280</v>
      </c>
      <c r="F82" s="6">
        <v>1344</v>
      </c>
      <c r="G82" s="6">
        <v>65</v>
      </c>
      <c r="H82" s="6">
        <v>173</v>
      </c>
      <c r="I82" s="6">
        <v>185</v>
      </c>
      <c r="J82" s="25">
        <v>27</v>
      </c>
      <c r="K82" s="6">
        <v>37</v>
      </c>
    </row>
    <row r="83" spans="1:11" ht="20.100000000000001" customHeight="1" x14ac:dyDescent="0.25">
      <c r="A83" s="45" t="s">
        <v>48</v>
      </c>
      <c r="B83" s="6" t="s">
        <v>19</v>
      </c>
      <c r="C83" s="5">
        <f t="shared" si="5"/>
        <v>2887</v>
      </c>
      <c r="D83" s="25">
        <v>3047</v>
      </c>
      <c r="E83" s="6">
        <v>1360</v>
      </c>
      <c r="F83" s="6">
        <v>1444</v>
      </c>
      <c r="G83" s="6">
        <v>65</v>
      </c>
      <c r="H83" s="6">
        <v>90</v>
      </c>
      <c r="I83" s="6">
        <v>95</v>
      </c>
      <c r="J83" s="25">
        <v>37</v>
      </c>
      <c r="K83" s="6">
        <v>47</v>
      </c>
    </row>
    <row r="84" spans="1:11" ht="20.100000000000001" customHeight="1" x14ac:dyDescent="0.25">
      <c r="A84" s="45" t="s">
        <v>48</v>
      </c>
      <c r="B84" s="6" t="s">
        <v>20</v>
      </c>
      <c r="C84" s="5">
        <f t="shared" si="5"/>
        <v>2882</v>
      </c>
      <c r="D84" s="25">
        <v>3047</v>
      </c>
      <c r="E84" s="6">
        <v>1360</v>
      </c>
      <c r="F84" s="6">
        <v>1444</v>
      </c>
      <c r="G84" s="6">
        <v>65</v>
      </c>
      <c r="H84" s="6">
        <v>95</v>
      </c>
      <c r="I84" s="6">
        <v>100</v>
      </c>
      <c r="J84" s="25">
        <v>37</v>
      </c>
      <c r="K84" s="6">
        <v>47</v>
      </c>
    </row>
    <row r="85" spans="1:11" ht="20.100000000000001" customHeight="1" x14ac:dyDescent="0.25">
      <c r="A85" s="45" t="s">
        <v>48</v>
      </c>
      <c r="B85" s="6" t="s">
        <v>21</v>
      </c>
      <c r="C85" s="5">
        <f t="shared" si="5"/>
        <v>2877</v>
      </c>
      <c r="D85" s="25">
        <v>3047</v>
      </c>
      <c r="E85" s="6">
        <v>1360</v>
      </c>
      <c r="F85" s="6">
        <v>1444</v>
      </c>
      <c r="G85" s="6">
        <v>65</v>
      </c>
      <c r="H85" s="6">
        <v>100</v>
      </c>
      <c r="I85" s="6">
        <v>105</v>
      </c>
      <c r="J85" s="25">
        <v>37</v>
      </c>
      <c r="K85" s="6">
        <v>47</v>
      </c>
    </row>
    <row r="86" spans="1:11" ht="20.100000000000001" customHeight="1" x14ac:dyDescent="0.25">
      <c r="A86" s="45" t="s">
        <v>48</v>
      </c>
      <c r="B86" s="6" t="s">
        <v>22</v>
      </c>
      <c r="C86" s="5">
        <f t="shared" si="5"/>
        <v>2867</v>
      </c>
      <c r="D86" s="25">
        <v>3047</v>
      </c>
      <c r="E86" s="6">
        <v>1360</v>
      </c>
      <c r="F86" s="6">
        <v>1444</v>
      </c>
      <c r="G86" s="6">
        <v>65</v>
      </c>
      <c r="H86" s="6">
        <v>110</v>
      </c>
      <c r="I86" s="6">
        <v>115</v>
      </c>
      <c r="J86" s="25">
        <v>37</v>
      </c>
      <c r="K86" s="6">
        <v>47</v>
      </c>
    </row>
    <row r="87" spans="1:11" ht="20.100000000000001" customHeight="1" x14ac:dyDescent="0.25">
      <c r="A87" s="45" t="s">
        <v>48</v>
      </c>
      <c r="B87" s="6" t="s">
        <v>23</v>
      </c>
      <c r="C87" s="5">
        <f t="shared" si="5"/>
        <v>2862</v>
      </c>
      <c r="D87" s="25">
        <v>3047</v>
      </c>
      <c r="E87" s="6">
        <v>1360</v>
      </c>
      <c r="F87" s="6">
        <v>1444</v>
      </c>
      <c r="G87" s="6">
        <v>65</v>
      </c>
      <c r="H87" s="6">
        <v>115</v>
      </c>
      <c r="I87" s="6">
        <v>120</v>
      </c>
      <c r="J87" s="25">
        <v>37</v>
      </c>
      <c r="K87" s="6">
        <v>47</v>
      </c>
    </row>
    <row r="88" spans="1:11" ht="20.100000000000001" customHeight="1" x14ac:dyDescent="0.25">
      <c r="A88" s="45" t="s">
        <v>48</v>
      </c>
      <c r="B88" s="6" t="s">
        <v>24</v>
      </c>
      <c r="C88" s="5">
        <f t="shared" si="5"/>
        <v>2852</v>
      </c>
      <c r="D88" s="25">
        <v>3047</v>
      </c>
      <c r="E88" s="6">
        <v>1360</v>
      </c>
      <c r="F88" s="6">
        <v>1444</v>
      </c>
      <c r="G88" s="6">
        <v>65</v>
      </c>
      <c r="H88" s="6">
        <v>125</v>
      </c>
      <c r="I88" s="6">
        <v>130</v>
      </c>
      <c r="J88" s="25">
        <v>37</v>
      </c>
      <c r="K88" s="6">
        <v>47</v>
      </c>
    </row>
    <row r="89" spans="1:11" ht="20.100000000000001" customHeight="1" x14ac:dyDescent="0.25">
      <c r="A89" s="45" t="s">
        <v>48</v>
      </c>
      <c r="B89" s="6" t="s">
        <v>25</v>
      </c>
      <c r="C89" s="5">
        <f t="shared" si="5"/>
        <v>2837</v>
      </c>
      <c r="D89" s="25">
        <v>3047</v>
      </c>
      <c r="E89" s="6">
        <v>1360</v>
      </c>
      <c r="F89" s="6">
        <v>1444</v>
      </c>
      <c r="G89" s="6">
        <v>65</v>
      </c>
      <c r="H89" s="6">
        <v>140</v>
      </c>
      <c r="I89" s="6">
        <v>145</v>
      </c>
      <c r="J89" s="25">
        <v>37</v>
      </c>
      <c r="K89" s="6">
        <v>47</v>
      </c>
    </row>
    <row r="90" spans="1:11" ht="20.100000000000001" customHeight="1" x14ac:dyDescent="0.25">
      <c r="A90" s="45" t="s">
        <v>48</v>
      </c>
      <c r="B90" s="6" t="s">
        <v>26</v>
      </c>
      <c r="C90" s="5">
        <f t="shared" si="5"/>
        <v>2822</v>
      </c>
      <c r="D90" s="25">
        <v>3047</v>
      </c>
      <c r="E90" s="6">
        <v>1360</v>
      </c>
      <c r="F90" s="6">
        <v>1444</v>
      </c>
      <c r="G90" s="6">
        <v>65</v>
      </c>
      <c r="H90" s="6">
        <v>155</v>
      </c>
      <c r="I90" s="6">
        <v>160</v>
      </c>
      <c r="J90" s="25">
        <v>37</v>
      </c>
      <c r="K90" s="6">
        <v>47</v>
      </c>
    </row>
    <row r="91" spans="1:11" ht="20.100000000000001" customHeight="1" x14ac:dyDescent="0.25">
      <c r="A91" s="45" t="s">
        <v>48</v>
      </c>
      <c r="B91" s="6" t="s">
        <v>15</v>
      </c>
      <c r="C91" s="5">
        <f t="shared" si="5"/>
        <v>2797</v>
      </c>
      <c r="D91" s="25">
        <v>3047</v>
      </c>
      <c r="E91" s="6">
        <v>1360</v>
      </c>
      <c r="F91" s="6">
        <v>1444</v>
      </c>
      <c r="G91" s="6">
        <v>65</v>
      </c>
      <c r="H91" s="6">
        <v>173</v>
      </c>
      <c r="I91" s="6">
        <v>185</v>
      </c>
      <c r="J91" s="25">
        <v>37</v>
      </c>
      <c r="K91" s="6">
        <v>47</v>
      </c>
    </row>
    <row r="92" spans="1:11" ht="20.100000000000001" customHeight="1" thickBot="1" x14ac:dyDescent="0.3">
      <c r="A92" s="49"/>
      <c r="B92" s="50"/>
      <c r="C92" s="51"/>
      <c r="D92" s="61"/>
      <c r="E92" s="50"/>
      <c r="F92" s="50"/>
      <c r="G92" s="50"/>
      <c r="H92" s="50"/>
      <c r="I92" s="50"/>
      <c r="J92" s="50"/>
      <c r="K92" s="50"/>
    </row>
    <row r="93" spans="1:11" ht="20.100000000000001" customHeight="1" x14ac:dyDescent="0.25">
      <c r="A93" s="52" t="s">
        <v>28</v>
      </c>
      <c r="B93" s="24" t="s">
        <v>29</v>
      </c>
      <c r="C93" s="53" t="s">
        <v>30</v>
      </c>
      <c r="D93" s="54"/>
      <c r="E93" s="54"/>
      <c r="F93" s="54"/>
      <c r="G93" s="55"/>
      <c r="H93" s="55"/>
      <c r="I93" s="23" t="s">
        <v>31</v>
      </c>
      <c r="J93" s="23" t="s">
        <v>32</v>
      </c>
      <c r="K93" s="26" t="s">
        <v>33</v>
      </c>
    </row>
    <row r="94" spans="1:11" ht="20.100000000000001" customHeight="1" thickBot="1" x14ac:dyDescent="0.3">
      <c r="A94" s="56">
        <v>0</v>
      </c>
      <c r="B94" s="57">
        <v>44091</v>
      </c>
      <c r="C94" s="58" t="s">
        <v>35</v>
      </c>
      <c r="D94" s="59"/>
      <c r="E94" s="59"/>
      <c r="F94" s="59"/>
      <c r="G94" s="60"/>
      <c r="H94" s="60"/>
      <c r="I94" s="9" t="s">
        <v>34</v>
      </c>
      <c r="J94" s="9"/>
      <c r="K94" s="11"/>
    </row>
    <row r="95" spans="1:11" ht="20.100000000000001" customHeight="1" thickBot="1" x14ac:dyDescent="0.3">
      <c r="A95" s="56">
        <v>1</v>
      </c>
      <c r="B95" s="57">
        <v>44098</v>
      </c>
      <c r="C95" s="58" t="s">
        <v>49</v>
      </c>
      <c r="D95" s="59"/>
      <c r="E95" s="59"/>
      <c r="F95" s="59"/>
      <c r="G95" s="60"/>
      <c r="H95" s="60"/>
      <c r="I95" s="9" t="s">
        <v>34</v>
      </c>
      <c r="J95" s="9"/>
      <c r="K95" s="11"/>
    </row>
    <row r="96" spans="1:11" ht="20.100000000000001" customHeight="1" x14ac:dyDescent="0.25"/>
    <row r="97" spans="1:11" ht="20.100000000000001" customHeight="1" x14ac:dyDescent="0.25"/>
    <row r="98" spans="1:11" ht="20.100000000000001" customHeight="1" x14ac:dyDescent="0.25"/>
    <row r="99" spans="1:11" ht="20.100000000000001" customHeight="1" x14ac:dyDescent="0.25"/>
    <row r="100" spans="1:11" ht="20.100000000000001" customHeight="1" x14ac:dyDescent="0.25"/>
    <row r="101" spans="1:11" ht="20.100000000000001" customHeight="1" x14ac:dyDescent="0.25"/>
    <row r="102" spans="1:11" ht="20.100000000000001" customHeight="1" x14ac:dyDescent="0.25"/>
    <row r="103" spans="1:11" ht="20.100000000000001" customHeight="1" x14ac:dyDescent="0.25">
      <c r="A103" s="49"/>
      <c r="B103" s="50"/>
      <c r="C103" s="51"/>
      <c r="D103" s="50"/>
      <c r="E103" s="50"/>
      <c r="F103" s="50"/>
      <c r="G103" s="50"/>
      <c r="H103" s="50"/>
      <c r="I103" s="50"/>
      <c r="J103" s="50"/>
      <c r="K103" s="50"/>
    </row>
    <row r="104" spans="1:11" ht="20.100000000000001" customHeight="1" x14ac:dyDescent="0.25">
      <c r="A104" s="49"/>
      <c r="B104" s="50"/>
      <c r="C104" s="51"/>
      <c r="D104" s="50"/>
      <c r="E104" s="50"/>
      <c r="F104" s="50"/>
      <c r="G104" s="50"/>
      <c r="H104" s="50"/>
      <c r="I104" s="50"/>
      <c r="J104" s="50"/>
      <c r="K104" s="50"/>
    </row>
    <row r="105" spans="1:11" ht="20.100000000000001" customHeight="1" x14ac:dyDescent="0.25">
      <c r="A105" s="49"/>
      <c r="B105" s="50"/>
      <c r="C105" s="51"/>
      <c r="D105" s="50"/>
      <c r="E105" s="50"/>
      <c r="F105" s="50"/>
      <c r="G105" s="50"/>
      <c r="H105" s="50"/>
      <c r="I105" s="50"/>
      <c r="J105" s="50"/>
      <c r="K105" s="50"/>
    </row>
    <row r="106" spans="1:11" ht="20.100000000000001" customHeight="1" x14ac:dyDescent="0.25">
      <c r="A106" s="49"/>
      <c r="B106" s="50"/>
      <c r="C106" s="51"/>
      <c r="D106" s="50"/>
      <c r="E106" s="50"/>
      <c r="F106" s="50"/>
      <c r="G106" s="50"/>
      <c r="H106" s="50"/>
      <c r="I106" s="50"/>
      <c r="J106" s="50"/>
      <c r="K106" s="50"/>
    </row>
    <row r="107" spans="1:11" ht="20.100000000000001" customHeight="1" x14ac:dyDescent="0.25">
      <c r="A107" s="49"/>
      <c r="B107" s="50"/>
      <c r="C107" s="51"/>
      <c r="D107" s="50"/>
      <c r="E107" s="50"/>
      <c r="F107" s="50"/>
      <c r="G107" s="50"/>
      <c r="H107" s="50"/>
      <c r="I107" s="50"/>
      <c r="J107" s="50"/>
      <c r="K107" s="50"/>
    </row>
    <row r="108" spans="1:11" ht="20.100000000000001" customHeight="1" x14ac:dyDescent="0.25">
      <c r="A108" s="49"/>
      <c r="B108" s="50"/>
      <c r="C108" s="51"/>
      <c r="D108" s="50"/>
      <c r="E108" s="50"/>
      <c r="F108" s="50"/>
      <c r="G108" s="50"/>
      <c r="H108" s="50"/>
      <c r="I108" s="50"/>
      <c r="J108" s="50"/>
      <c r="K108" s="50"/>
    </row>
    <row r="109" spans="1:11" ht="20.100000000000001" customHeight="1" x14ac:dyDescent="0.25">
      <c r="A109" s="49"/>
      <c r="B109" s="50"/>
      <c r="C109" s="51"/>
      <c r="D109" s="50"/>
      <c r="E109" s="50"/>
      <c r="F109" s="50"/>
      <c r="G109" s="50"/>
      <c r="H109" s="50"/>
      <c r="I109" s="50"/>
      <c r="J109" s="50"/>
      <c r="K109" s="50"/>
    </row>
    <row r="110" spans="1:11" ht="20.100000000000001" customHeight="1" x14ac:dyDescent="0.25">
      <c r="A110" s="49"/>
      <c r="B110" s="50"/>
      <c r="C110" s="51"/>
      <c r="D110" s="50"/>
      <c r="E110" s="50"/>
      <c r="F110" s="50"/>
      <c r="G110" s="50"/>
      <c r="H110" s="50"/>
      <c r="I110" s="50"/>
      <c r="J110" s="50"/>
      <c r="K110" s="50"/>
    </row>
    <row r="111" spans="1:11" ht="20.100000000000001" customHeight="1" x14ac:dyDescent="0.25">
      <c r="A111" s="49"/>
      <c r="B111" s="50"/>
      <c r="C111" s="51"/>
      <c r="D111" s="50"/>
      <c r="E111" s="50"/>
      <c r="F111" s="50"/>
      <c r="G111" s="50"/>
      <c r="H111" s="50"/>
      <c r="I111" s="50"/>
      <c r="J111" s="50"/>
      <c r="K111" s="50"/>
    </row>
    <row r="112" spans="1:11" ht="20.100000000000001" customHeight="1" x14ac:dyDescent="0.25">
      <c r="A112" s="49"/>
      <c r="B112" s="50"/>
      <c r="C112" s="51"/>
      <c r="D112" s="50"/>
      <c r="E112" s="50"/>
      <c r="F112" s="50"/>
      <c r="G112" s="50"/>
      <c r="H112" s="50"/>
      <c r="I112" s="50"/>
      <c r="J112" s="50"/>
      <c r="K112" s="50"/>
    </row>
    <row r="113" spans="1:11" ht="20.100000000000001" customHeight="1" x14ac:dyDescent="0.25">
      <c r="A113" s="49"/>
      <c r="B113" s="50"/>
      <c r="C113" s="51"/>
      <c r="D113" s="50"/>
      <c r="E113" s="50"/>
      <c r="F113" s="50"/>
      <c r="G113" s="50"/>
      <c r="H113" s="50"/>
      <c r="I113" s="50"/>
      <c r="J113" s="50"/>
      <c r="K113" s="50"/>
    </row>
    <row r="114" spans="1:11" ht="20.100000000000001" customHeight="1" x14ac:dyDescent="0.25">
      <c r="A114" s="49"/>
      <c r="B114" s="50"/>
      <c r="C114" s="51"/>
      <c r="D114" s="50"/>
      <c r="E114" s="50"/>
      <c r="F114" s="50"/>
      <c r="G114" s="50"/>
      <c r="H114" s="50"/>
      <c r="I114" s="50"/>
      <c r="J114" s="50"/>
      <c r="K114" s="50"/>
    </row>
  </sheetData>
  <mergeCells count="1">
    <mergeCell ref="D1:K4"/>
  </mergeCells>
  <printOptions horizontalCentered="1"/>
  <pageMargins left="0.23622047244094491" right="0.23622047244094491" top="0.39370078740157483" bottom="0.39370078740157483" header="0.31496062992125984" footer="0.31496062992125984"/>
  <pageSetup paperSize="9" fitToHeight="0" orientation="portrait" r:id="rId1"/>
  <headerFooter>
    <oddHeader xml:space="preserve">&amp;C
</oddHeader>
  </headerFooter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76200</xdr:rowOff>
              </from>
              <to>
                <xdr:col>2</xdr:col>
                <xdr:colOff>314325</xdr:colOff>
                <xdr:row>3</xdr:row>
                <xdr:rowOff>152400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Rossi</dc:creator>
  <cp:lastModifiedBy>Francisco Javier Zapata</cp:lastModifiedBy>
  <cp:lastPrinted>2020-10-06T06:38:45Z</cp:lastPrinted>
  <dcterms:created xsi:type="dcterms:W3CDTF">2014-02-18T10:22:28Z</dcterms:created>
  <dcterms:modified xsi:type="dcterms:W3CDTF">2020-11-20T12:53:15Z</dcterms:modified>
</cp:coreProperties>
</file>