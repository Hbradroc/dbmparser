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platini\Desktop\tabelle 173\NUOVE GX\ed\P3012ED\"/>
    </mc:Choice>
  </mc:AlternateContent>
  <xr:revisionPtr revIDLastSave="0" documentId="13_ncr:1_{0B0BC2E8-1154-43D1-981D-E953FEBE3C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glio2" sheetId="2" r:id="rId1"/>
    <sheet name="Foglio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2" l="1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12" i="2"/>
  <c r="K12" i="2" s="1"/>
  <c r="J10" i="2"/>
  <c r="K10" i="2" s="1"/>
  <c r="J11" i="2"/>
  <c r="K11" i="2" s="1"/>
  <c r="J7" i="2"/>
  <c r="K7" i="2" s="1"/>
  <c r="J8" i="2"/>
  <c r="K8" i="2" s="1"/>
  <c r="J9" i="2"/>
  <c r="K9" i="2" s="1"/>
  <c r="J13" i="2"/>
  <c r="K13" i="2" s="1"/>
  <c r="C7" i="2"/>
  <c r="C66" i="2" l="1"/>
  <c r="C67" i="2"/>
  <c r="C68" i="2"/>
  <c r="C69" i="2"/>
  <c r="C70" i="2"/>
  <c r="C65" i="2"/>
  <c r="C37" i="2"/>
  <c r="C35" i="2"/>
  <c r="C36" i="2"/>
  <c r="C39" i="2"/>
  <c r="C40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C60" i="2" l="1"/>
  <c r="C55" i="2"/>
  <c r="C48" i="2"/>
  <c r="C41" i="2"/>
  <c r="C63" i="2"/>
  <c r="C58" i="2"/>
  <c r="C51" i="2"/>
  <c r="C44" i="2"/>
  <c r="C62" i="2"/>
  <c r="C57" i="2"/>
  <c r="C50" i="2"/>
  <c r="C43" i="2"/>
  <c r="C61" i="2"/>
  <c r="C56" i="2"/>
  <c r="C49" i="2"/>
  <c r="C42" i="2"/>
  <c r="C64" i="2"/>
  <c r="C52" i="2"/>
  <c r="C45" i="2"/>
  <c r="C59" i="2"/>
  <c r="C54" i="2"/>
  <c r="C47" i="2"/>
  <c r="C53" i="2"/>
  <c r="C46" i="2"/>
  <c r="C71" i="2"/>
  <c r="C75" i="2"/>
  <c r="C74" i="2"/>
  <c r="C72" i="2"/>
  <c r="C76" i="2"/>
  <c r="C73" i="2"/>
</calcChain>
</file>

<file path=xl/sharedStrings.xml><?xml version="1.0" encoding="utf-8"?>
<sst xmlns="http://schemas.openxmlformats.org/spreadsheetml/2006/main" count="162" uniqueCount="39">
  <si>
    <t>L1</t>
  </si>
  <si>
    <t>L3</t>
  </si>
  <si>
    <t>T1</t>
  </si>
  <si>
    <t>T2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</si>
  <si>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</si>
  <si>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</si>
  <si>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</si>
  <si>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</si>
  <si>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</si>
  <si>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</si>
  <si>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</si>
  <si>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</si>
  <si>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</si>
  <si>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</si>
  <si>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</si>
  <si>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</si>
  <si>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</si>
  <si>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</si>
  <si>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</si>
  <si>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</si>
  <si>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</si>
  <si>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</si>
  <si>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</si>
  <si>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</si>
  <si>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</si>
  <si>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</si>
  <si>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</si>
  <si>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</si>
  <si>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</si>
  <si>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</si>
  <si>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SYSTEMAIR DK
EVAPORATOR dimensions P3012
BGXKDXP3012</t>
  </si>
  <si>
    <t>6 TO 10</t>
  </si>
  <si>
    <t>11 TO 15</t>
  </si>
  <si>
    <t>16 TO 20</t>
  </si>
  <si>
    <t>21 TO 25</t>
  </si>
  <si>
    <t>26 TO 30</t>
  </si>
  <si>
    <t>2 TO 5</t>
  </si>
  <si>
    <t>NUMBER OF CIRCUITS</t>
  </si>
  <si>
    <t>FIRST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</si>
</sst>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0" fillId="0" borderId="9" xfId="0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99"/>
  <sheetViews>
    <sheetView tabSelected="1" zoomScaleNormal="100" workbookViewId="0">
      <selection activeCell="D1" sqref="D1:K4"/>
    </sheetView>
  </sheetViews>
  <sheetFormatPr defaultRowHeight="15" x14ac:dyDescent="0.25"/>
  <cols>
    <col min="2" max="2" width="21.140625" customWidth="1"/>
    <col min="4" max="6" width="8.28515625" customWidth="1"/>
    <col min="7" max="9" width="8.28515625" style="1" customWidth="1"/>
    <col min="10" max="10" width="8.28515625" style="21" customWidth="1"/>
    <col min="11" max="11" width="8.28515625" style="1" customWidth="1"/>
  </cols>
  <sheetData>
    <row r="1" spans="1:11" s="11" customFormat="1" ht="16.5" customHeight="1" x14ac:dyDescent="0.25">
      <c r="A1" s="14"/>
      <c r="B1" s="15"/>
      <c r="C1" s="16"/>
      <c r="D1" s="47" t="s">
        <v>30</v>
      </c>
      <c r="E1" s="48"/>
      <c r="F1" s="48"/>
      <c r="G1" s="48"/>
      <c r="H1" s="48"/>
      <c r="I1" s="48"/>
      <c r="J1" s="48"/>
      <c r="K1" s="49"/>
    </row>
    <row r="2" spans="1:11" s="11" customFormat="1" ht="16.5" customHeight="1" x14ac:dyDescent="0.25">
      <c r="A2" s="17"/>
      <c r="B2" s="12"/>
      <c r="C2" s="13"/>
      <c r="D2" s="50"/>
      <c r="E2" s="51"/>
      <c r="F2" s="51"/>
      <c r="G2" s="51"/>
      <c r="H2" s="51"/>
      <c r="I2" s="51"/>
      <c r="J2" s="51"/>
      <c r="K2" s="52"/>
    </row>
    <row r="3" spans="1:11" s="11" customFormat="1" ht="16.5" customHeight="1" x14ac:dyDescent="0.25">
      <c r="A3" s="17"/>
      <c r="B3" s="12"/>
      <c r="C3" s="13"/>
      <c r="D3" s="50"/>
      <c r="E3" s="51"/>
      <c r="F3" s="51"/>
      <c r="G3" s="51"/>
      <c r="H3" s="51"/>
      <c r="I3" s="51"/>
      <c r="J3" s="51"/>
      <c r="K3" s="52"/>
    </row>
    <row r="4" spans="1:11" s="11" customFormat="1" ht="16.5" customHeight="1" thickBot="1" x14ac:dyDescent="0.3">
      <c r="A4" s="18"/>
      <c r="B4" s="19"/>
      <c r="C4" s="20"/>
      <c r="D4" s="53"/>
      <c r="E4" s="54"/>
      <c r="F4" s="54"/>
      <c r="G4" s="54"/>
      <c r="H4" s="54"/>
      <c r="I4" s="54"/>
      <c r="J4" s="54"/>
      <c r="K4" s="55"/>
    </row>
    <row r="5" spans="1:11" ht="15.75" thickBot="1" x14ac:dyDescent="0.3">
      <c r="A5" s="28"/>
      <c r="B5" s="28"/>
      <c r="C5" s="30"/>
      <c r="D5" s="28"/>
      <c r="E5" s="28"/>
      <c r="F5" s="28"/>
      <c r="G5" s="28"/>
      <c r="H5" s="28"/>
      <c r="I5" s="28"/>
      <c r="J5" s="28"/>
      <c r="K5" s="28"/>
    </row>
    <row r="6" spans="1:11" ht="20.100000000000001" customHeight="1" thickBot="1" x14ac:dyDescent="0.3">
      <c r="A6" s="22" t="s">
        <v>14</v>
      </c>
      <c r="B6" s="23" t="s">
        <v>37</v>
      </c>
      <c r="C6" s="24" t="s">
        <v>0</v>
      </c>
      <c r="D6" s="25" t="s">
        <v>1</v>
      </c>
      <c r="E6" s="23" t="s">
        <v>2</v>
      </c>
      <c r="F6" s="23" t="s">
        <v>3</v>
      </c>
      <c r="G6" s="25" t="s">
        <v>29</v>
      </c>
      <c r="H6" s="26" t="s">
        <v>4</v>
      </c>
      <c r="I6" s="27" t="s">
        <v>5</v>
      </c>
      <c r="J6" s="27" t="s">
        <v>16</v>
      </c>
      <c r="K6" s="25" t="s">
        <v>17</v>
      </c>
    </row>
    <row r="7" spans="1:11" ht="20.100000000000001" customHeight="1" x14ac:dyDescent="0.25">
      <c r="A7" s="31" t="s">
        <v>15</v>
      </c>
      <c r="B7" s="6" t="s">
        <v>36</v>
      </c>
      <c r="C7" s="45">
        <f t="shared" ref="C7:C38" si="0">D7-G7-I7</f>
        <v>728</v>
      </c>
      <c r="D7" s="32">
        <v>943</v>
      </c>
      <c r="E7" s="32">
        <v>360</v>
      </c>
      <c r="F7" s="32">
        <v>420</v>
      </c>
      <c r="G7" s="6">
        <v>65</v>
      </c>
      <c r="H7" s="32">
        <v>145</v>
      </c>
      <c r="I7" s="32">
        <v>150</v>
      </c>
      <c r="J7" s="9">
        <f>(F7-E7)/2</f>
        <v>30</v>
      </c>
      <c r="K7" s="3">
        <f t="shared" ref="K7:K11" si="1">J7</f>
        <v>30</v>
      </c>
    </row>
    <row r="8" spans="1:11" ht="20.100000000000001" customHeight="1" x14ac:dyDescent="0.25">
      <c r="A8" s="29" t="s">
        <v>15</v>
      </c>
      <c r="B8" s="3" t="s">
        <v>31</v>
      </c>
      <c r="C8" s="45">
        <f t="shared" si="0"/>
        <v>718</v>
      </c>
      <c r="D8" s="32">
        <v>943</v>
      </c>
      <c r="E8" s="32">
        <v>360</v>
      </c>
      <c r="F8" s="32">
        <v>420</v>
      </c>
      <c r="G8" s="3">
        <v>65</v>
      </c>
      <c r="H8" s="9">
        <v>155</v>
      </c>
      <c r="I8" s="9">
        <v>160</v>
      </c>
      <c r="J8" s="9">
        <f t="shared" ref="J8" si="2">(F8-E8)/2</f>
        <v>30</v>
      </c>
      <c r="K8" s="3">
        <f t="shared" si="1"/>
        <v>30</v>
      </c>
    </row>
    <row r="9" spans="1:11" ht="20.100000000000001" customHeight="1" x14ac:dyDescent="0.25">
      <c r="A9" s="29" t="s">
        <v>15</v>
      </c>
      <c r="B9" s="3" t="s">
        <v>32</v>
      </c>
      <c r="C9" s="45">
        <f t="shared" si="0"/>
        <v>703</v>
      </c>
      <c r="D9" s="32">
        <v>943</v>
      </c>
      <c r="E9" s="32">
        <v>360</v>
      </c>
      <c r="F9" s="32">
        <v>420</v>
      </c>
      <c r="G9" s="3">
        <v>65</v>
      </c>
      <c r="H9" s="9">
        <v>170</v>
      </c>
      <c r="I9" s="9">
        <v>175</v>
      </c>
      <c r="J9" s="9">
        <f>(F9-E9)/2</f>
        <v>30</v>
      </c>
      <c r="K9" s="3">
        <f>J9</f>
        <v>30</v>
      </c>
    </row>
    <row r="10" spans="1:11" ht="20.100000000000001" customHeight="1" x14ac:dyDescent="0.25">
      <c r="A10" s="29" t="s">
        <v>15</v>
      </c>
      <c r="B10" s="3" t="s">
        <v>33</v>
      </c>
      <c r="C10" s="45">
        <f t="shared" si="0"/>
        <v>688</v>
      </c>
      <c r="D10" s="32">
        <v>943</v>
      </c>
      <c r="E10" s="32">
        <v>360</v>
      </c>
      <c r="F10" s="32">
        <v>420</v>
      </c>
      <c r="G10" s="3">
        <v>65</v>
      </c>
      <c r="H10" s="9">
        <v>185</v>
      </c>
      <c r="I10" s="9">
        <v>190</v>
      </c>
      <c r="J10" s="9">
        <f>(F10-E10)/2</f>
        <v>30</v>
      </c>
      <c r="K10" s="3">
        <f t="shared" si="1"/>
        <v>30</v>
      </c>
    </row>
    <row r="11" spans="1:11" ht="20.100000000000001" customHeight="1" x14ac:dyDescent="0.25">
      <c r="A11" s="29" t="s">
        <v>15</v>
      </c>
      <c r="B11" s="3" t="s">
        <v>34</v>
      </c>
      <c r="C11" s="45">
        <f t="shared" si="0"/>
        <v>678</v>
      </c>
      <c r="D11" s="32">
        <v>943</v>
      </c>
      <c r="E11" s="32">
        <v>360</v>
      </c>
      <c r="F11" s="32">
        <v>420</v>
      </c>
      <c r="G11" s="3">
        <v>65</v>
      </c>
      <c r="H11" s="9">
        <v>195</v>
      </c>
      <c r="I11" s="9">
        <v>200</v>
      </c>
      <c r="J11" s="9">
        <f t="shared" ref="J11" si="3">(F11-E11)/2</f>
        <v>30</v>
      </c>
      <c r="K11" s="3">
        <f t="shared" si="1"/>
        <v>30</v>
      </c>
    </row>
    <row r="12" spans="1:11" ht="20.100000000000001" customHeight="1" x14ac:dyDescent="0.25">
      <c r="A12" s="29" t="s">
        <v>18</v>
      </c>
      <c r="B12" s="6" t="s">
        <v>36</v>
      </c>
      <c r="C12" s="45">
        <f t="shared" si="0"/>
        <v>828</v>
      </c>
      <c r="D12" s="9">
        <v>1043</v>
      </c>
      <c r="E12" s="9">
        <v>390</v>
      </c>
      <c r="F12" s="9">
        <v>470</v>
      </c>
      <c r="G12" s="3">
        <v>65</v>
      </c>
      <c r="H12" s="9">
        <v>145</v>
      </c>
      <c r="I12" s="9">
        <v>150</v>
      </c>
      <c r="J12" s="9">
        <f>(F12-E12)/2</f>
        <v>40</v>
      </c>
      <c r="K12" s="3">
        <f>J12</f>
        <v>40</v>
      </c>
    </row>
    <row r="13" spans="1:11" ht="20.100000000000001" customHeight="1" x14ac:dyDescent="0.25">
      <c r="A13" s="29" t="s">
        <v>18</v>
      </c>
      <c r="B13" s="3" t="s">
        <v>31</v>
      </c>
      <c r="C13" s="45">
        <f t="shared" si="0"/>
        <v>818</v>
      </c>
      <c r="D13" s="9">
        <v>1043</v>
      </c>
      <c r="E13" s="9">
        <v>390</v>
      </c>
      <c r="F13" s="9">
        <v>470</v>
      </c>
      <c r="G13" s="3">
        <v>65</v>
      </c>
      <c r="H13" s="9">
        <v>155</v>
      </c>
      <c r="I13" s="9">
        <v>160</v>
      </c>
      <c r="J13" s="9">
        <f t="shared" ref="J13:J14" si="4">(F13-E13)/2</f>
        <v>40</v>
      </c>
      <c r="K13" s="3">
        <f t="shared" ref="K13:K67" si="5">J13</f>
        <v>40</v>
      </c>
    </row>
    <row r="14" spans="1:11" ht="20.100000000000001" customHeight="1" x14ac:dyDescent="0.25">
      <c r="A14" s="29" t="s">
        <v>18</v>
      </c>
      <c r="B14" s="3" t="s">
        <v>32</v>
      </c>
      <c r="C14" s="45">
        <f t="shared" si="0"/>
        <v>803</v>
      </c>
      <c r="D14" s="9">
        <v>1043</v>
      </c>
      <c r="E14" s="9">
        <v>390</v>
      </c>
      <c r="F14" s="9">
        <v>470</v>
      </c>
      <c r="G14" s="3">
        <v>65</v>
      </c>
      <c r="H14" s="9">
        <v>170</v>
      </c>
      <c r="I14" s="9">
        <v>175</v>
      </c>
      <c r="J14" s="9">
        <f t="shared" si="4"/>
        <v>40</v>
      </c>
      <c r="K14" s="3">
        <f t="shared" si="5"/>
        <v>40</v>
      </c>
    </row>
    <row r="15" spans="1:11" ht="20.100000000000001" customHeight="1" x14ac:dyDescent="0.25">
      <c r="A15" s="29" t="s">
        <v>18</v>
      </c>
      <c r="B15" s="3" t="s">
        <v>33</v>
      </c>
      <c r="C15" s="45">
        <f t="shared" si="0"/>
        <v>788</v>
      </c>
      <c r="D15" s="9">
        <v>1043</v>
      </c>
      <c r="E15" s="9">
        <v>390</v>
      </c>
      <c r="F15" s="9">
        <v>470</v>
      </c>
      <c r="G15" s="3">
        <v>65</v>
      </c>
      <c r="H15" s="9">
        <v>185</v>
      </c>
      <c r="I15" s="9">
        <v>190</v>
      </c>
      <c r="J15" s="9">
        <f t="shared" ref="J15:J69" si="6">(F15-E15)/2</f>
        <v>40</v>
      </c>
      <c r="K15" s="3">
        <f t="shared" si="5"/>
        <v>40</v>
      </c>
    </row>
    <row r="16" spans="1:11" ht="20.100000000000001" customHeight="1" x14ac:dyDescent="0.25">
      <c r="A16" s="29" t="s">
        <v>18</v>
      </c>
      <c r="B16" s="3" t="s">
        <v>34</v>
      </c>
      <c r="C16" s="45">
        <f t="shared" si="0"/>
        <v>778</v>
      </c>
      <c r="D16" s="9">
        <v>1043</v>
      </c>
      <c r="E16" s="9">
        <v>390</v>
      </c>
      <c r="F16" s="9">
        <v>470</v>
      </c>
      <c r="G16" s="3">
        <v>65</v>
      </c>
      <c r="H16" s="9">
        <v>195</v>
      </c>
      <c r="I16" s="9">
        <v>200</v>
      </c>
      <c r="J16" s="9">
        <f t="shared" si="6"/>
        <v>40</v>
      </c>
      <c r="K16" s="3">
        <f t="shared" si="5"/>
        <v>40</v>
      </c>
    </row>
    <row r="17" spans="1:11" ht="20.100000000000001" customHeight="1" x14ac:dyDescent="0.25">
      <c r="A17" s="29" t="s">
        <v>19</v>
      </c>
      <c r="B17" s="6" t="s">
        <v>36</v>
      </c>
      <c r="C17" s="45">
        <f t="shared" si="0"/>
        <v>928</v>
      </c>
      <c r="D17" s="9">
        <v>1143</v>
      </c>
      <c r="E17" s="9">
        <v>450</v>
      </c>
      <c r="F17" s="9">
        <v>520</v>
      </c>
      <c r="G17" s="3">
        <v>65</v>
      </c>
      <c r="H17" s="9">
        <v>145</v>
      </c>
      <c r="I17" s="9">
        <v>150</v>
      </c>
      <c r="J17" s="9">
        <f t="shared" si="6"/>
        <v>35</v>
      </c>
      <c r="K17" s="3">
        <f t="shared" si="5"/>
        <v>35</v>
      </c>
    </row>
    <row r="18" spans="1:11" ht="20.100000000000001" customHeight="1" x14ac:dyDescent="0.25">
      <c r="A18" s="29" t="s">
        <v>19</v>
      </c>
      <c r="B18" s="3" t="s">
        <v>31</v>
      </c>
      <c r="C18" s="45">
        <f t="shared" si="0"/>
        <v>918</v>
      </c>
      <c r="D18" s="9">
        <v>1143</v>
      </c>
      <c r="E18" s="9">
        <v>450</v>
      </c>
      <c r="F18" s="9">
        <v>520</v>
      </c>
      <c r="G18" s="3">
        <v>65</v>
      </c>
      <c r="H18" s="9">
        <v>155</v>
      </c>
      <c r="I18" s="9">
        <v>160</v>
      </c>
      <c r="J18" s="9">
        <f t="shared" si="6"/>
        <v>35</v>
      </c>
      <c r="K18" s="3">
        <f t="shared" si="5"/>
        <v>35</v>
      </c>
    </row>
    <row r="19" spans="1:11" ht="20.100000000000001" customHeight="1" x14ac:dyDescent="0.25">
      <c r="A19" s="29" t="s">
        <v>19</v>
      </c>
      <c r="B19" s="3" t="s">
        <v>32</v>
      </c>
      <c r="C19" s="45">
        <f t="shared" si="0"/>
        <v>903</v>
      </c>
      <c r="D19" s="9">
        <v>1143</v>
      </c>
      <c r="E19" s="9">
        <v>450</v>
      </c>
      <c r="F19" s="9">
        <v>520</v>
      </c>
      <c r="G19" s="3">
        <v>65</v>
      </c>
      <c r="H19" s="9">
        <v>170</v>
      </c>
      <c r="I19" s="9">
        <v>175</v>
      </c>
      <c r="J19" s="9">
        <f t="shared" si="6"/>
        <v>35</v>
      </c>
      <c r="K19" s="3">
        <f t="shared" si="5"/>
        <v>35</v>
      </c>
    </row>
    <row r="20" spans="1:11" ht="20.100000000000001" customHeight="1" x14ac:dyDescent="0.25">
      <c r="A20" s="29" t="s">
        <v>19</v>
      </c>
      <c r="B20" s="3" t="s">
        <v>33</v>
      </c>
      <c r="C20" s="45">
        <f t="shared" si="0"/>
        <v>888</v>
      </c>
      <c r="D20" s="9">
        <v>1143</v>
      </c>
      <c r="E20" s="9">
        <v>450</v>
      </c>
      <c r="F20" s="9">
        <v>520</v>
      </c>
      <c r="G20" s="3">
        <v>65</v>
      </c>
      <c r="H20" s="9">
        <v>185</v>
      </c>
      <c r="I20" s="9">
        <v>190</v>
      </c>
      <c r="J20" s="9">
        <f t="shared" si="6"/>
        <v>35</v>
      </c>
      <c r="K20" s="3">
        <f t="shared" si="5"/>
        <v>35</v>
      </c>
    </row>
    <row r="21" spans="1:11" ht="20.100000000000001" customHeight="1" x14ac:dyDescent="0.25">
      <c r="A21" s="29" t="s">
        <v>19</v>
      </c>
      <c r="B21" s="3" t="s">
        <v>34</v>
      </c>
      <c r="C21" s="45">
        <f t="shared" si="0"/>
        <v>878</v>
      </c>
      <c r="D21" s="9">
        <v>1143</v>
      </c>
      <c r="E21" s="9">
        <v>450</v>
      </c>
      <c r="F21" s="9">
        <v>520</v>
      </c>
      <c r="G21" s="3">
        <v>65</v>
      </c>
      <c r="H21" s="9">
        <v>195</v>
      </c>
      <c r="I21" s="9">
        <v>200</v>
      </c>
      <c r="J21" s="9">
        <f t="shared" si="6"/>
        <v>35</v>
      </c>
      <c r="K21" s="3">
        <f t="shared" si="5"/>
        <v>35</v>
      </c>
    </row>
    <row r="22" spans="1:11" ht="20.100000000000001" customHeight="1" x14ac:dyDescent="0.25">
      <c r="A22" s="29" t="s">
        <v>19</v>
      </c>
      <c r="B22" s="3" t="s">
        <v>35</v>
      </c>
      <c r="C22" s="45">
        <f t="shared" si="0"/>
        <v>858</v>
      </c>
      <c r="D22" s="9">
        <v>1143</v>
      </c>
      <c r="E22" s="9">
        <v>450</v>
      </c>
      <c r="F22" s="9">
        <v>520</v>
      </c>
      <c r="G22" s="3">
        <v>65</v>
      </c>
      <c r="H22" s="9">
        <v>215</v>
      </c>
      <c r="I22" s="9">
        <v>220</v>
      </c>
      <c r="J22" s="9">
        <f t="shared" si="6"/>
        <v>35</v>
      </c>
      <c r="K22" s="3">
        <f t="shared" si="5"/>
        <v>35</v>
      </c>
    </row>
    <row r="23" spans="1:11" ht="20.100000000000001" customHeight="1" x14ac:dyDescent="0.25">
      <c r="A23" s="29" t="s">
        <v>20</v>
      </c>
      <c r="B23" s="6" t="s">
        <v>36</v>
      </c>
      <c r="C23" s="45">
        <f t="shared" si="0"/>
        <v>1128</v>
      </c>
      <c r="D23" s="9">
        <v>1343</v>
      </c>
      <c r="E23" s="9">
        <v>540</v>
      </c>
      <c r="F23" s="9">
        <v>615</v>
      </c>
      <c r="G23" s="3">
        <v>65</v>
      </c>
      <c r="H23" s="9">
        <v>145</v>
      </c>
      <c r="I23" s="9">
        <v>150</v>
      </c>
      <c r="J23" s="9">
        <f t="shared" si="6"/>
        <v>37.5</v>
      </c>
      <c r="K23" s="3">
        <f t="shared" si="5"/>
        <v>37.5</v>
      </c>
    </row>
    <row r="24" spans="1:11" ht="20.100000000000001" customHeight="1" x14ac:dyDescent="0.25">
      <c r="A24" s="29" t="s">
        <v>20</v>
      </c>
      <c r="B24" s="3" t="s">
        <v>31</v>
      </c>
      <c r="C24" s="45">
        <f t="shared" si="0"/>
        <v>1118</v>
      </c>
      <c r="D24" s="9">
        <v>1343</v>
      </c>
      <c r="E24" s="9">
        <v>540</v>
      </c>
      <c r="F24" s="9">
        <v>615</v>
      </c>
      <c r="G24" s="3">
        <v>65</v>
      </c>
      <c r="H24" s="9">
        <v>155</v>
      </c>
      <c r="I24" s="9">
        <v>160</v>
      </c>
      <c r="J24" s="9">
        <f t="shared" si="6"/>
        <v>37.5</v>
      </c>
      <c r="K24" s="3">
        <f t="shared" si="5"/>
        <v>37.5</v>
      </c>
    </row>
    <row r="25" spans="1:11" ht="20.100000000000001" customHeight="1" x14ac:dyDescent="0.25">
      <c r="A25" s="29" t="s">
        <v>20</v>
      </c>
      <c r="B25" s="3" t="s">
        <v>32</v>
      </c>
      <c r="C25" s="45">
        <f t="shared" si="0"/>
        <v>1103</v>
      </c>
      <c r="D25" s="9">
        <v>1343</v>
      </c>
      <c r="E25" s="9">
        <v>540</v>
      </c>
      <c r="F25" s="9">
        <v>615</v>
      </c>
      <c r="G25" s="3">
        <v>65</v>
      </c>
      <c r="H25" s="9">
        <v>170</v>
      </c>
      <c r="I25" s="9">
        <v>175</v>
      </c>
      <c r="J25" s="9">
        <f t="shared" si="6"/>
        <v>37.5</v>
      </c>
      <c r="K25" s="3">
        <f t="shared" si="5"/>
        <v>37.5</v>
      </c>
    </row>
    <row r="26" spans="1:11" ht="20.100000000000001" customHeight="1" x14ac:dyDescent="0.25">
      <c r="A26" s="29" t="s">
        <v>20</v>
      </c>
      <c r="B26" s="3" t="s">
        <v>33</v>
      </c>
      <c r="C26" s="45">
        <f t="shared" si="0"/>
        <v>1088</v>
      </c>
      <c r="D26" s="9">
        <v>1343</v>
      </c>
      <c r="E26" s="9">
        <v>540</v>
      </c>
      <c r="F26" s="9">
        <v>615</v>
      </c>
      <c r="G26" s="3">
        <v>65</v>
      </c>
      <c r="H26" s="9">
        <v>185</v>
      </c>
      <c r="I26" s="9">
        <v>190</v>
      </c>
      <c r="J26" s="9">
        <f t="shared" si="6"/>
        <v>37.5</v>
      </c>
      <c r="K26" s="3">
        <f t="shared" si="5"/>
        <v>37.5</v>
      </c>
    </row>
    <row r="27" spans="1:11" ht="20.100000000000001" customHeight="1" x14ac:dyDescent="0.25">
      <c r="A27" s="29" t="s">
        <v>20</v>
      </c>
      <c r="B27" s="3" t="s">
        <v>34</v>
      </c>
      <c r="C27" s="45">
        <f t="shared" si="0"/>
        <v>1078</v>
      </c>
      <c r="D27" s="9">
        <v>1343</v>
      </c>
      <c r="E27" s="9">
        <v>540</v>
      </c>
      <c r="F27" s="9">
        <v>615</v>
      </c>
      <c r="G27" s="3">
        <v>65</v>
      </c>
      <c r="H27" s="9">
        <v>195</v>
      </c>
      <c r="I27" s="9">
        <v>200</v>
      </c>
      <c r="J27" s="9">
        <f t="shared" si="6"/>
        <v>37.5</v>
      </c>
      <c r="K27" s="3">
        <f t="shared" si="5"/>
        <v>37.5</v>
      </c>
    </row>
    <row r="28" spans="1:11" ht="20.100000000000001" customHeight="1" x14ac:dyDescent="0.25">
      <c r="A28" s="29" t="s">
        <v>20</v>
      </c>
      <c r="B28" s="3" t="s">
        <v>35</v>
      </c>
      <c r="C28" s="45">
        <f t="shared" si="0"/>
        <v>1058</v>
      </c>
      <c r="D28" s="9">
        <v>1343</v>
      </c>
      <c r="E28" s="9">
        <v>540</v>
      </c>
      <c r="F28" s="9">
        <v>615</v>
      </c>
      <c r="G28" s="3">
        <v>65</v>
      </c>
      <c r="H28" s="9">
        <v>215</v>
      </c>
      <c r="I28" s="9">
        <v>220</v>
      </c>
      <c r="J28" s="9">
        <f t="shared" si="6"/>
        <v>37.5</v>
      </c>
      <c r="K28" s="3">
        <f t="shared" si="5"/>
        <v>37.5</v>
      </c>
    </row>
    <row r="29" spans="1:11" ht="20.100000000000001" customHeight="1" x14ac:dyDescent="0.25">
      <c r="A29" s="29" t="s">
        <v>21</v>
      </c>
      <c r="B29" s="6" t="s">
        <v>36</v>
      </c>
      <c r="C29" s="45">
        <f t="shared" si="0"/>
        <v>1328</v>
      </c>
      <c r="D29" s="9">
        <v>1543</v>
      </c>
      <c r="E29" s="9">
        <v>660</v>
      </c>
      <c r="F29" s="9">
        <v>710</v>
      </c>
      <c r="G29" s="3">
        <v>65</v>
      </c>
      <c r="H29" s="9">
        <v>145</v>
      </c>
      <c r="I29" s="9">
        <v>150</v>
      </c>
      <c r="J29" s="9">
        <f t="shared" si="6"/>
        <v>25</v>
      </c>
      <c r="K29" s="3">
        <f t="shared" si="5"/>
        <v>25</v>
      </c>
    </row>
    <row r="30" spans="1:11" ht="20.100000000000001" customHeight="1" x14ac:dyDescent="0.25">
      <c r="A30" s="29" t="s">
        <v>21</v>
      </c>
      <c r="B30" s="3" t="s">
        <v>31</v>
      </c>
      <c r="C30" s="45">
        <f t="shared" si="0"/>
        <v>1318</v>
      </c>
      <c r="D30" s="9">
        <v>1543</v>
      </c>
      <c r="E30" s="9">
        <v>660</v>
      </c>
      <c r="F30" s="9">
        <v>710</v>
      </c>
      <c r="G30" s="3">
        <v>65</v>
      </c>
      <c r="H30" s="9">
        <v>155</v>
      </c>
      <c r="I30" s="9">
        <v>160</v>
      </c>
      <c r="J30" s="9">
        <f t="shared" si="6"/>
        <v>25</v>
      </c>
      <c r="K30" s="3">
        <f t="shared" si="5"/>
        <v>25</v>
      </c>
    </row>
    <row r="31" spans="1:11" ht="20.100000000000001" customHeight="1" x14ac:dyDescent="0.25">
      <c r="A31" s="29" t="s">
        <v>21</v>
      </c>
      <c r="B31" s="3" t="s">
        <v>32</v>
      </c>
      <c r="C31" s="45">
        <f t="shared" si="0"/>
        <v>1303</v>
      </c>
      <c r="D31" s="9">
        <v>1543</v>
      </c>
      <c r="E31" s="9">
        <v>660</v>
      </c>
      <c r="F31" s="9">
        <v>710</v>
      </c>
      <c r="G31" s="3">
        <v>65</v>
      </c>
      <c r="H31" s="9">
        <v>170</v>
      </c>
      <c r="I31" s="9">
        <v>175</v>
      </c>
      <c r="J31" s="9">
        <f t="shared" si="6"/>
        <v>25</v>
      </c>
      <c r="K31" s="3">
        <f t="shared" si="5"/>
        <v>25</v>
      </c>
    </row>
    <row r="32" spans="1:11" ht="20.100000000000001" customHeight="1" x14ac:dyDescent="0.25">
      <c r="A32" s="29" t="s">
        <v>21</v>
      </c>
      <c r="B32" s="3" t="s">
        <v>33</v>
      </c>
      <c r="C32" s="45">
        <f t="shared" si="0"/>
        <v>1288</v>
      </c>
      <c r="D32" s="9">
        <v>1543</v>
      </c>
      <c r="E32" s="9">
        <v>660</v>
      </c>
      <c r="F32" s="9">
        <v>710</v>
      </c>
      <c r="G32" s="3">
        <v>65</v>
      </c>
      <c r="H32" s="9">
        <v>185</v>
      </c>
      <c r="I32" s="9">
        <v>190</v>
      </c>
      <c r="J32" s="9">
        <f t="shared" si="6"/>
        <v>25</v>
      </c>
      <c r="K32" s="3">
        <f t="shared" si="5"/>
        <v>25</v>
      </c>
    </row>
    <row r="33" spans="1:11" ht="20.100000000000001" customHeight="1" x14ac:dyDescent="0.25">
      <c r="A33" s="29" t="s">
        <v>21</v>
      </c>
      <c r="B33" s="3" t="s">
        <v>34</v>
      </c>
      <c r="C33" s="45">
        <f t="shared" si="0"/>
        <v>1278</v>
      </c>
      <c r="D33" s="9">
        <v>1543</v>
      </c>
      <c r="E33" s="9">
        <v>660</v>
      </c>
      <c r="F33" s="9">
        <v>710</v>
      </c>
      <c r="G33" s="3">
        <v>65</v>
      </c>
      <c r="H33" s="9">
        <v>195</v>
      </c>
      <c r="I33" s="9">
        <v>200</v>
      </c>
      <c r="J33" s="9">
        <f t="shared" si="6"/>
        <v>25</v>
      </c>
      <c r="K33" s="3">
        <f t="shared" si="5"/>
        <v>25</v>
      </c>
    </row>
    <row r="34" spans="1:11" ht="20.100000000000001" customHeight="1" x14ac:dyDescent="0.25">
      <c r="A34" s="29" t="s">
        <v>21</v>
      </c>
      <c r="B34" s="3" t="s">
        <v>35</v>
      </c>
      <c r="C34" s="45">
        <f t="shared" si="0"/>
        <v>1258</v>
      </c>
      <c r="D34" s="9">
        <v>1543</v>
      </c>
      <c r="E34" s="9">
        <v>660</v>
      </c>
      <c r="F34" s="9">
        <v>710</v>
      </c>
      <c r="G34" s="3">
        <v>65</v>
      </c>
      <c r="H34" s="9">
        <v>215</v>
      </c>
      <c r="I34" s="9">
        <v>220</v>
      </c>
      <c r="J34" s="9">
        <f t="shared" si="6"/>
        <v>25</v>
      </c>
      <c r="K34" s="3">
        <f t="shared" si="5"/>
        <v>25</v>
      </c>
    </row>
    <row r="35" spans="1:11" ht="20.100000000000001" customHeight="1" x14ac:dyDescent="0.25">
      <c r="A35" s="29" t="s">
        <v>22</v>
      </c>
      <c r="B35" s="6" t="s">
        <v>36</v>
      </c>
      <c r="C35" s="45">
        <f t="shared" si="0"/>
        <v>1528</v>
      </c>
      <c r="D35" s="9">
        <v>1743</v>
      </c>
      <c r="E35" s="9">
        <v>750</v>
      </c>
      <c r="F35" s="9">
        <v>810</v>
      </c>
      <c r="G35" s="3">
        <v>65</v>
      </c>
      <c r="H35" s="9">
        <v>145</v>
      </c>
      <c r="I35" s="9">
        <v>150</v>
      </c>
      <c r="J35" s="9">
        <f t="shared" si="6"/>
        <v>30</v>
      </c>
      <c r="K35" s="3">
        <f t="shared" si="5"/>
        <v>30</v>
      </c>
    </row>
    <row r="36" spans="1:11" ht="20.100000000000001" customHeight="1" x14ac:dyDescent="0.25">
      <c r="A36" s="29" t="s">
        <v>22</v>
      </c>
      <c r="B36" s="3" t="s">
        <v>31</v>
      </c>
      <c r="C36" s="46">
        <f t="shared" si="0"/>
        <v>1518</v>
      </c>
      <c r="D36" s="9">
        <v>1743</v>
      </c>
      <c r="E36" s="9">
        <v>750</v>
      </c>
      <c r="F36" s="9">
        <v>810</v>
      </c>
      <c r="G36" s="3">
        <v>65</v>
      </c>
      <c r="H36" s="9">
        <v>155</v>
      </c>
      <c r="I36" s="9">
        <v>160</v>
      </c>
      <c r="J36" s="9">
        <f t="shared" si="6"/>
        <v>30</v>
      </c>
      <c r="K36" s="3">
        <f t="shared" si="5"/>
        <v>30</v>
      </c>
    </row>
    <row r="37" spans="1:11" ht="20.100000000000001" customHeight="1" x14ac:dyDescent="0.25">
      <c r="A37" s="29" t="s">
        <v>22</v>
      </c>
      <c r="B37" s="3" t="s">
        <v>32</v>
      </c>
      <c r="C37" s="46">
        <f t="shared" si="0"/>
        <v>1503</v>
      </c>
      <c r="D37" s="9">
        <v>1743</v>
      </c>
      <c r="E37" s="9">
        <v>750</v>
      </c>
      <c r="F37" s="9">
        <v>810</v>
      </c>
      <c r="G37" s="3">
        <v>65</v>
      </c>
      <c r="H37" s="9">
        <v>170</v>
      </c>
      <c r="I37" s="9">
        <v>175</v>
      </c>
      <c r="J37" s="9">
        <f t="shared" si="6"/>
        <v>30</v>
      </c>
      <c r="K37" s="3">
        <f t="shared" si="5"/>
        <v>30</v>
      </c>
    </row>
    <row r="38" spans="1:11" ht="20.100000000000001" customHeight="1" x14ac:dyDescent="0.25">
      <c r="A38" s="29" t="s">
        <v>22</v>
      </c>
      <c r="B38" s="3" t="s">
        <v>33</v>
      </c>
      <c r="C38" s="46">
        <f t="shared" si="0"/>
        <v>1488</v>
      </c>
      <c r="D38" s="9">
        <v>1743</v>
      </c>
      <c r="E38" s="9">
        <v>750</v>
      </c>
      <c r="F38" s="9">
        <v>810</v>
      </c>
      <c r="G38" s="3">
        <v>65</v>
      </c>
      <c r="H38" s="9">
        <v>185</v>
      </c>
      <c r="I38" s="9">
        <v>190</v>
      </c>
      <c r="J38" s="9">
        <f t="shared" si="6"/>
        <v>30</v>
      </c>
      <c r="K38" s="3">
        <f t="shared" si="5"/>
        <v>30</v>
      </c>
    </row>
    <row r="39" spans="1:11" x14ac:dyDescent="0.25">
      <c r="A39" s="29" t="s">
        <v>22</v>
      </c>
      <c r="B39" s="3" t="s">
        <v>34</v>
      </c>
      <c r="C39" s="46">
        <f t="shared" ref="C39:C64" si="7">D39-G39-I39</f>
        <v>1478</v>
      </c>
      <c r="D39" s="9">
        <v>1743</v>
      </c>
      <c r="E39" s="9">
        <v>750</v>
      </c>
      <c r="F39" s="9">
        <v>810</v>
      </c>
      <c r="G39" s="2">
        <v>65</v>
      </c>
      <c r="H39" s="9">
        <v>195</v>
      </c>
      <c r="I39" s="9">
        <v>200</v>
      </c>
      <c r="J39" s="9">
        <f t="shared" si="6"/>
        <v>30</v>
      </c>
      <c r="K39" s="3">
        <f t="shared" si="5"/>
        <v>30</v>
      </c>
    </row>
    <row r="40" spans="1:11" ht="20.100000000000001" customHeight="1" x14ac:dyDescent="0.25">
      <c r="A40" s="29" t="s">
        <v>22</v>
      </c>
      <c r="B40" s="3" t="s">
        <v>35</v>
      </c>
      <c r="C40" s="46">
        <f t="shared" si="7"/>
        <v>1458</v>
      </c>
      <c r="D40" s="9">
        <v>1743</v>
      </c>
      <c r="E40" s="9">
        <v>750</v>
      </c>
      <c r="F40" s="9">
        <v>810</v>
      </c>
      <c r="G40" s="3">
        <v>65</v>
      </c>
      <c r="H40" s="9">
        <v>215</v>
      </c>
      <c r="I40" s="9">
        <v>220</v>
      </c>
      <c r="J40" s="9">
        <f t="shared" si="6"/>
        <v>30</v>
      </c>
      <c r="K40" s="3">
        <f t="shared" si="5"/>
        <v>30</v>
      </c>
    </row>
    <row r="41" spans="1:11" ht="20.100000000000001" customHeight="1" x14ac:dyDescent="0.25">
      <c r="A41" s="29" t="s">
        <v>23</v>
      </c>
      <c r="B41" s="6" t="s">
        <v>36</v>
      </c>
      <c r="C41" s="46">
        <f t="shared" si="7"/>
        <v>1728</v>
      </c>
      <c r="D41" s="9">
        <v>1943</v>
      </c>
      <c r="E41" s="9">
        <v>840</v>
      </c>
      <c r="F41" s="9">
        <v>905</v>
      </c>
      <c r="G41" s="3">
        <v>65</v>
      </c>
      <c r="H41" s="9">
        <v>145</v>
      </c>
      <c r="I41" s="9">
        <v>150</v>
      </c>
      <c r="J41" s="9">
        <f t="shared" si="6"/>
        <v>32.5</v>
      </c>
      <c r="K41" s="3">
        <f t="shared" si="5"/>
        <v>32.5</v>
      </c>
    </row>
    <row r="42" spans="1:11" ht="20.100000000000001" customHeight="1" x14ac:dyDescent="0.25">
      <c r="A42" s="29" t="s">
        <v>23</v>
      </c>
      <c r="B42" s="3" t="s">
        <v>31</v>
      </c>
      <c r="C42" s="46">
        <f t="shared" si="7"/>
        <v>1718</v>
      </c>
      <c r="D42" s="9">
        <v>1943</v>
      </c>
      <c r="E42" s="9">
        <v>840</v>
      </c>
      <c r="F42" s="9">
        <v>905</v>
      </c>
      <c r="G42" s="3">
        <v>65</v>
      </c>
      <c r="H42" s="9">
        <v>155</v>
      </c>
      <c r="I42" s="9">
        <v>160</v>
      </c>
      <c r="J42" s="9">
        <f t="shared" si="6"/>
        <v>32.5</v>
      </c>
      <c r="K42" s="3">
        <f t="shared" si="5"/>
        <v>32.5</v>
      </c>
    </row>
    <row r="43" spans="1:11" ht="20.100000000000001" customHeight="1" x14ac:dyDescent="0.25">
      <c r="A43" s="29" t="s">
        <v>23</v>
      </c>
      <c r="B43" s="3" t="s">
        <v>32</v>
      </c>
      <c r="C43" s="46">
        <f t="shared" si="7"/>
        <v>1703</v>
      </c>
      <c r="D43" s="9">
        <v>1943</v>
      </c>
      <c r="E43" s="9">
        <v>840</v>
      </c>
      <c r="F43" s="9">
        <v>905</v>
      </c>
      <c r="G43" s="3">
        <v>65</v>
      </c>
      <c r="H43" s="9">
        <v>170</v>
      </c>
      <c r="I43" s="9">
        <v>175</v>
      </c>
      <c r="J43" s="9">
        <f t="shared" si="6"/>
        <v>32.5</v>
      </c>
      <c r="K43" s="3">
        <f t="shared" si="5"/>
        <v>32.5</v>
      </c>
    </row>
    <row r="44" spans="1:11" ht="20.100000000000001" customHeight="1" x14ac:dyDescent="0.25">
      <c r="A44" s="29" t="s">
        <v>23</v>
      </c>
      <c r="B44" s="3" t="s">
        <v>33</v>
      </c>
      <c r="C44" s="46">
        <f t="shared" si="7"/>
        <v>1688</v>
      </c>
      <c r="D44" s="9">
        <v>1943</v>
      </c>
      <c r="E44" s="9">
        <v>840</v>
      </c>
      <c r="F44" s="9">
        <v>905</v>
      </c>
      <c r="G44" s="3">
        <v>65</v>
      </c>
      <c r="H44" s="9">
        <v>185</v>
      </c>
      <c r="I44" s="9">
        <v>190</v>
      </c>
      <c r="J44" s="9">
        <f t="shared" si="6"/>
        <v>32.5</v>
      </c>
      <c r="K44" s="3">
        <f t="shared" si="5"/>
        <v>32.5</v>
      </c>
    </row>
    <row r="45" spans="1:11" ht="20.100000000000001" customHeight="1" x14ac:dyDescent="0.25">
      <c r="A45" s="29" t="s">
        <v>23</v>
      </c>
      <c r="B45" s="3" t="s">
        <v>34</v>
      </c>
      <c r="C45" s="46">
        <f t="shared" si="7"/>
        <v>1678</v>
      </c>
      <c r="D45" s="9">
        <v>1943</v>
      </c>
      <c r="E45" s="9">
        <v>840</v>
      </c>
      <c r="F45" s="9">
        <v>905</v>
      </c>
      <c r="G45" s="3">
        <v>65</v>
      </c>
      <c r="H45" s="9">
        <v>195</v>
      </c>
      <c r="I45" s="9">
        <v>200</v>
      </c>
      <c r="J45" s="9">
        <f t="shared" si="6"/>
        <v>32.5</v>
      </c>
      <c r="K45" s="3">
        <f t="shared" si="5"/>
        <v>32.5</v>
      </c>
    </row>
    <row r="46" spans="1:11" ht="20.100000000000001" customHeight="1" x14ac:dyDescent="0.25">
      <c r="A46" s="29" t="s">
        <v>23</v>
      </c>
      <c r="B46" s="3" t="s">
        <v>35</v>
      </c>
      <c r="C46" s="46">
        <f t="shared" si="7"/>
        <v>1658</v>
      </c>
      <c r="D46" s="9">
        <v>1943</v>
      </c>
      <c r="E46" s="9">
        <v>840</v>
      </c>
      <c r="F46" s="9">
        <v>905</v>
      </c>
      <c r="G46" s="3">
        <v>65</v>
      </c>
      <c r="H46" s="9">
        <v>215</v>
      </c>
      <c r="I46" s="9">
        <v>220</v>
      </c>
      <c r="J46" s="9">
        <f t="shared" si="6"/>
        <v>32.5</v>
      </c>
      <c r="K46" s="3">
        <f t="shared" si="5"/>
        <v>32.5</v>
      </c>
    </row>
    <row r="47" spans="1:11" ht="20.100000000000001" customHeight="1" x14ac:dyDescent="0.25">
      <c r="A47" s="29" t="s">
        <v>24</v>
      </c>
      <c r="B47" s="6" t="s">
        <v>36</v>
      </c>
      <c r="C47" s="46">
        <f t="shared" si="7"/>
        <v>1928</v>
      </c>
      <c r="D47" s="9">
        <v>2143</v>
      </c>
      <c r="E47" s="9">
        <v>930</v>
      </c>
      <c r="F47" s="9">
        <v>1005</v>
      </c>
      <c r="G47" s="3">
        <v>65</v>
      </c>
      <c r="H47" s="9">
        <v>145</v>
      </c>
      <c r="I47" s="9">
        <v>150</v>
      </c>
      <c r="J47" s="9">
        <f t="shared" si="6"/>
        <v>37.5</v>
      </c>
      <c r="K47" s="3">
        <f t="shared" si="5"/>
        <v>37.5</v>
      </c>
    </row>
    <row r="48" spans="1:11" ht="20.100000000000001" customHeight="1" x14ac:dyDescent="0.25">
      <c r="A48" s="29" t="s">
        <v>24</v>
      </c>
      <c r="B48" s="3" t="s">
        <v>31</v>
      </c>
      <c r="C48" s="46">
        <f t="shared" si="7"/>
        <v>1918</v>
      </c>
      <c r="D48" s="9">
        <v>2143</v>
      </c>
      <c r="E48" s="9">
        <v>930</v>
      </c>
      <c r="F48" s="9">
        <v>1005</v>
      </c>
      <c r="G48" s="3">
        <v>65</v>
      </c>
      <c r="H48" s="9">
        <v>155</v>
      </c>
      <c r="I48" s="9">
        <v>160</v>
      </c>
      <c r="J48" s="9">
        <f t="shared" si="6"/>
        <v>37.5</v>
      </c>
      <c r="K48" s="3">
        <f t="shared" si="5"/>
        <v>37.5</v>
      </c>
    </row>
    <row r="49" spans="1:11" ht="20.100000000000001" customHeight="1" x14ac:dyDescent="0.25">
      <c r="A49" s="29" t="s">
        <v>24</v>
      </c>
      <c r="B49" s="3" t="s">
        <v>32</v>
      </c>
      <c r="C49" s="46">
        <f t="shared" si="7"/>
        <v>1903</v>
      </c>
      <c r="D49" s="9">
        <v>2143</v>
      </c>
      <c r="E49" s="9">
        <v>930</v>
      </c>
      <c r="F49" s="9">
        <v>1005</v>
      </c>
      <c r="G49" s="3">
        <v>65</v>
      </c>
      <c r="H49" s="9">
        <v>170</v>
      </c>
      <c r="I49" s="9">
        <v>175</v>
      </c>
      <c r="J49" s="9">
        <f t="shared" si="6"/>
        <v>37.5</v>
      </c>
      <c r="K49" s="3">
        <f t="shared" si="5"/>
        <v>37.5</v>
      </c>
    </row>
    <row r="50" spans="1:11" ht="20.100000000000001" customHeight="1" x14ac:dyDescent="0.25">
      <c r="A50" s="29" t="s">
        <v>24</v>
      </c>
      <c r="B50" s="3" t="s">
        <v>33</v>
      </c>
      <c r="C50" s="46">
        <f t="shared" si="7"/>
        <v>1888</v>
      </c>
      <c r="D50" s="9">
        <v>2143</v>
      </c>
      <c r="E50" s="9">
        <v>930</v>
      </c>
      <c r="F50" s="9">
        <v>1005</v>
      </c>
      <c r="G50" s="3">
        <v>65</v>
      </c>
      <c r="H50" s="9">
        <v>185</v>
      </c>
      <c r="I50" s="9">
        <v>190</v>
      </c>
      <c r="J50" s="9">
        <f t="shared" si="6"/>
        <v>37.5</v>
      </c>
      <c r="K50" s="3">
        <f t="shared" si="5"/>
        <v>37.5</v>
      </c>
    </row>
    <row r="51" spans="1:11" ht="20.100000000000001" customHeight="1" x14ac:dyDescent="0.25">
      <c r="A51" s="29" t="s">
        <v>24</v>
      </c>
      <c r="B51" s="3" t="s">
        <v>34</v>
      </c>
      <c r="C51" s="46">
        <f t="shared" si="7"/>
        <v>1878</v>
      </c>
      <c r="D51" s="9">
        <v>2143</v>
      </c>
      <c r="E51" s="9">
        <v>930</v>
      </c>
      <c r="F51" s="9">
        <v>1005</v>
      </c>
      <c r="G51" s="3">
        <v>65</v>
      </c>
      <c r="H51" s="9">
        <v>195</v>
      </c>
      <c r="I51" s="9">
        <v>200</v>
      </c>
      <c r="J51" s="9">
        <f t="shared" si="6"/>
        <v>37.5</v>
      </c>
      <c r="K51" s="3">
        <f t="shared" si="5"/>
        <v>37.5</v>
      </c>
    </row>
    <row r="52" spans="1:11" ht="20.100000000000001" customHeight="1" x14ac:dyDescent="0.25">
      <c r="A52" s="29" t="s">
        <v>24</v>
      </c>
      <c r="B52" s="3" t="s">
        <v>35</v>
      </c>
      <c r="C52" s="46">
        <f t="shared" si="7"/>
        <v>1858</v>
      </c>
      <c r="D52" s="9">
        <v>2143</v>
      </c>
      <c r="E52" s="9">
        <v>930</v>
      </c>
      <c r="F52" s="9">
        <v>1005</v>
      </c>
      <c r="G52" s="3">
        <v>65</v>
      </c>
      <c r="H52" s="9">
        <v>215</v>
      </c>
      <c r="I52" s="9">
        <v>220</v>
      </c>
      <c r="J52" s="9">
        <f t="shared" si="6"/>
        <v>37.5</v>
      </c>
      <c r="K52" s="3">
        <f t="shared" si="5"/>
        <v>37.5</v>
      </c>
    </row>
    <row r="53" spans="1:11" ht="20.100000000000001" customHeight="1" x14ac:dyDescent="0.25">
      <c r="A53" s="29" t="s">
        <v>25</v>
      </c>
      <c r="B53" s="6" t="s">
        <v>36</v>
      </c>
      <c r="C53" s="46">
        <f t="shared" si="7"/>
        <v>2128</v>
      </c>
      <c r="D53" s="9">
        <v>2343</v>
      </c>
      <c r="E53" s="9">
        <v>1020</v>
      </c>
      <c r="F53" s="9">
        <v>1100</v>
      </c>
      <c r="G53" s="3">
        <v>65</v>
      </c>
      <c r="H53" s="9">
        <v>145</v>
      </c>
      <c r="I53" s="9">
        <v>150</v>
      </c>
      <c r="J53" s="9">
        <f t="shared" si="6"/>
        <v>40</v>
      </c>
      <c r="K53" s="3">
        <f t="shared" si="5"/>
        <v>40</v>
      </c>
    </row>
    <row r="54" spans="1:11" ht="20.100000000000001" customHeight="1" x14ac:dyDescent="0.25">
      <c r="A54" s="29" t="s">
        <v>25</v>
      </c>
      <c r="B54" s="3" t="s">
        <v>31</v>
      </c>
      <c r="C54" s="46">
        <f t="shared" si="7"/>
        <v>2118</v>
      </c>
      <c r="D54" s="9">
        <v>2343</v>
      </c>
      <c r="E54" s="9">
        <v>1020</v>
      </c>
      <c r="F54" s="9">
        <v>1100</v>
      </c>
      <c r="G54" s="3">
        <v>65</v>
      </c>
      <c r="H54" s="9">
        <v>155</v>
      </c>
      <c r="I54" s="9">
        <v>160</v>
      </c>
      <c r="J54" s="9">
        <f t="shared" si="6"/>
        <v>40</v>
      </c>
      <c r="K54" s="3">
        <f t="shared" si="5"/>
        <v>40</v>
      </c>
    </row>
    <row r="55" spans="1:11" ht="20.100000000000001" customHeight="1" x14ac:dyDescent="0.25">
      <c r="A55" s="29" t="s">
        <v>25</v>
      </c>
      <c r="B55" s="3" t="s">
        <v>32</v>
      </c>
      <c r="C55" s="46">
        <f t="shared" si="7"/>
        <v>2103</v>
      </c>
      <c r="D55" s="9">
        <v>2343</v>
      </c>
      <c r="E55" s="9">
        <v>1020</v>
      </c>
      <c r="F55" s="9">
        <v>1100</v>
      </c>
      <c r="G55" s="3">
        <v>65</v>
      </c>
      <c r="H55" s="9">
        <v>170</v>
      </c>
      <c r="I55" s="9">
        <v>175</v>
      </c>
      <c r="J55" s="9">
        <f t="shared" si="6"/>
        <v>40</v>
      </c>
      <c r="K55" s="3">
        <f t="shared" si="5"/>
        <v>40</v>
      </c>
    </row>
    <row r="56" spans="1:11" ht="20.100000000000001" customHeight="1" x14ac:dyDescent="0.25">
      <c r="A56" s="29" t="s">
        <v>25</v>
      </c>
      <c r="B56" s="3" t="s">
        <v>33</v>
      </c>
      <c r="C56" s="46">
        <f t="shared" si="7"/>
        <v>2088</v>
      </c>
      <c r="D56" s="9">
        <v>2343</v>
      </c>
      <c r="E56" s="9">
        <v>1020</v>
      </c>
      <c r="F56" s="9">
        <v>1100</v>
      </c>
      <c r="G56" s="3">
        <v>65</v>
      </c>
      <c r="H56" s="9">
        <v>185</v>
      </c>
      <c r="I56" s="9">
        <v>190</v>
      </c>
      <c r="J56" s="9">
        <f t="shared" si="6"/>
        <v>40</v>
      </c>
      <c r="K56" s="3">
        <f t="shared" si="5"/>
        <v>40</v>
      </c>
    </row>
    <row r="57" spans="1:11" ht="20.100000000000001" customHeight="1" x14ac:dyDescent="0.25">
      <c r="A57" s="29" t="s">
        <v>25</v>
      </c>
      <c r="B57" s="3" t="s">
        <v>34</v>
      </c>
      <c r="C57" s="46">
        <f t="shared" si="7"/>
        <v>2078</v>
      </c>
      <c r="D57" s="9">
        <v>2343</v>
      </c>
      <c r="E57" s="9">
        <v>1020</v>
      </c>
      <c r="F57" s="9">
        <v>1100</v>
      </c>
      <c r="G57" s="3">
        <v>65</v>
      </c>
      <c r="H57" s="9">
        <v>195</v>
      </c>
      <c r="I57" s="9">
        <v>200</v>
      </c>
      <c r="J57" s="9">
        <f t="shared" si="6"/>
        <v>40</v>
      </c>
      <c r="K57" s="3">
        <f t="shared" si="5"/>
        <v>40</v>
      </c>
    </row>
    <row r="58" spans="1:11" ht="20.100000000000001" customHeight="1" x14ac:dyDescent="0.25">
      <c r="A58" s="29" t="s">
        <v>25</v>
      </c>
      <c r="B58" s="3" t="s">
        <v>35</v>
      </c>
      <c r="C58" s="46">
        <f t="shared" si="7"/>
        <v>2058</v>
      </c>
      <c r="D58" s="9">
        <v>2343</v>
      </c>
      <c r="E58" s="9">
        <v>1020</v>
      </c>
      <c r="F58" s="9">
        <v>1100</v>
      </c>
      <c r="G58" s="3">
        <v>65</v>
      </c>
      <c r="H58" s="9">
        <v>215</v>
      </c>
      <c r="I58" s="9">
        <v>220</v>
      </c>
      <c r="J58" s="9">
        <f t="shared" si="6"/>
        <v>40</v>
      </c>
      <c r="K58" s="3">
        <f t="shared" si="5"/>
        <v>40</v>
      </c>
    </row>
    <row r="59" spans="1:11" ht="20.100000000000001" customHeight="1" x14ac:dyDescent="0.25">
      <c r="A59" s="29" t="s">
        <v>26</v>
      </c>
      <c r="B59" s="6" t="s">
        <v>36</v>
      </c>
      <c r="C59" s="46">
        <f t="shared" si="7"/>
        <v>2428</v>
      </c>
      <c r="D59" s="9">
        <v>2643</v>
      </c>
      <c r="E59" s="9">
        <v>1140</v>
      </c>
      <c r="F59" s="9">
        <v>1200</v>
      </c>
      <c r="G59" s="3">
        <v>65</v>
      </c>
      <c r="H59" s="9">
        <v>145</v>
      </c>
      <c r="I59" s="9">
        <v>150</v>
      </c>
      <c r="J59" s="9">
        <f t="shared" si="6"/>
        <v>30</v>
      </c>
      <c r="K59" s="3">
        <f t="shared" si="5"/>
        <v>30</v>
      </c>
    </row>
    <row r="60" spans="1:11" ht="20.100000000000001" customHeight="1" x14ac:dyDescent="0.25">
      <c r="A60" s="29" t="s">
        <v>26</v>
      </c>
      <c r="B60" s="3" t="s">
        <v>31</v>
      </c>
      <c r="C60" s="46">
        <f t="shared" si="7"/>
        <v>2418</v>
      </c>
      <c r="D60" s="9">
        <v>2643</v>
      </c>
      <c r="E60" s="9">
        <v>1140</v>
      </c>
      <c r="F60" s="9">
        <v>1200</v>
      </c>
      <c r="G60" s="3">
        <v>65</v>
      </c>
      <c r="H60" s="9">
        <v>155</v>
      </c>
      <c r="I60" s="9">
        <v>160</v>
      </c>
      <c r="J60" s="9">
        <f t="shared" si="6"/>
        <v>30</v>
      </c>
      <c r="K60" s="3">
        <f t="shared" si="5"/>
        <v>30</v>
      </c>
    </row>
    <row r="61" spans="1:11" ht="20.100000000000001" customHeight="1" x14ac:dyDescent="0.25">
      <c r="A61" s="29" t="s">
        <v>26</v>
      </c>
      <c r="B61" s="3" t="s">
        <v>32</v>
      </c>
      <c r="C61" s="46">
        <f t="shared" si="7"/>
        <v>2403</v>
      </c>
      <c r="D61" s="9">
        <v>2643</v>
      </c>
      <c r="E61" s="9">
        <v>1140</v>
      </c>
      <c r="F61" s="9">
        <v>1200</v>
      </c>
      <c r="G61" s="3">
        <v>65</v>
      </c>
      <c r="H61" s="9">
        <v>170</v>
      </c>
      <c r="I61" s="9">
        <v>175</v>
      </c>
      <c r="J61" s="9">
        <f t="shared" si="6"/>
        <v>30</v>
      </c>
      <c r="K61" s="3">
        <f t="shared" si="5"/>
        <v>30</v>
      </c>
    </row>
    <row r="62" spans="1:11" ht="20.100000000000001" customHeight="1" x14ac:dyDescent="0.25">
      <c r="A62" s="29" t="s">
        <v>26</v>
      </c>
      <c r="B62" s="3" t="s">
        <v>33</v>
      </c>
      <c r="C62" s="46">
        <f t="shared" si="7"/>
        <v>2388</v>
      </c>
      <c r="D62" s="9">
        <v>2643</v>
      </c>
      <c r="E62" s="9">
        <v>1140</v>
      </c>
      <c r="F62" s="9">
        <v>1200</v>
      </c>
      <c r="G62" s="3">
        <v>65</v>
      </c>
      <c r="H62" s="9">
        <v>185</v>
      </c>
      <c r="I62" s="9">
        <v>190</v>
      </c>
      <c r="J62" s="9">
        <f t="shared" si="6"/>
        <v>30</v>
      </c>
      <c r="K62" s="3">
        <f t="shared" si="5"/>
        <v>30</v>
      </c>
    </row>
    <row r="63" spans="1:11" ht="20.100000000000001" customHeight="1" x14ac:dyDescent="0.25">
      <c r="A63" s="29" t="s">
        <v>26</v>
      </c>
      <c r="B63" s="3" t="s">
        <v>34</v>
      </c>
      <c r="C63" s="46">
        <f t="shared" si="7"/>
        <v>2378</v>
      </c>
      <c r="D63" s="9">
        <v>2643</v>
      </c>
      <c r="E63" s="9">
        <v>1140</v>
      </c>
      <c r="F63" s="9">
        <v>1200</v>
      </c>
      <c r="G63" s="3">
        <v>65</v>
      </c>
      <c r="H63" s="9">
        <v>195</v>
      </c>
      <c r="I63" s="9">
        <v>200</v>
      </c>
      <c r="J63" s="9">
        <f t="shared" si="6"/>
        <v>30</v>
      </c>
      <c r="K63" s="3">
        <f t="shared" si="5"/>
        <v>30</v>
      </c>
    </row>
    <row r="64" spans="1:11" ht="20.100000000000001" customHeight="1" x14ac:dyDescent="0.25">
      <c r="A64" s="29" t="s">
        <v>26</v>
      </c>
      <c r="B64" s="3" t="s">
        <v>35</v>
      </c>
      <c r="C64" s="46">
        <f t="shared" si="7"/>
        <v>2358</v>
      </c>
      <c r="D64" s="9">
        <v>2643</v>
      </c>
      <c r="E64" s="9">
        <v>1140</v>
      </c>
      <c r="F64" s="9">
        <v>1200</v>
      </c>
      <c r="G64" s="3">
        <v>65</v>
      </c>
      <c r="H64" s="9">
        <v>215</v>
      </c>
      <c r="I64" s="9">
        <v>220</v>
      </c>
      <c r="J64" s="9">
        <f t="shared" si="6"/>
        <v>30</v>
      </c>
      <c r="K64" s="3">
        <f t="shared" si="5"/>
        <v>30</v>
      </c>
    </row>
    <row r="65" spans="1:11" ht="20.100000000000001" customHeight="1" x14ac:dyDescent="0.25">
      <c r="A65" s="29" t="s">
        <v>27</v>
      </c>
      <c r="B65" s="6" t="s">
        <v>36</v>
      </c>
      <c r="C65" s="46">
        <f t="shared" ref="C65:C76" si="8">D65-G65-I65</f>
        <v>2628</v>
      </c>
      <c r="D65" s="9">
        <v>2843</v>
      </c>
      <c r="E65" s="9">
        <v>1230</v>
      </c>
      <c r="F65" s="9">
        <v>1295</v>
      </c>
      <c r="G65" s="3">
        <v>65</v>
      </c>
      <c r="H65" s="9">
        <v>145</v>
      </c>
      <c r="I65" s="9">
        <v>150</v>
      </c>
      <c r="J65" s="9">
        <f t="shared" si="6"/>
        <v>32.5</v>
      </c>
      <c r="K65" s="3">
        <f t="shared" si="5"/>
        <v>32.5</v>
      </c>
    </row>
    <row r="66" spans="1:11" ht="20.100000000000001" customHeight="1" x14ac:dyDescent="0.25">
      <c r="A66" s="29" t="s">
        <v>27</v>
      </c>
      <c r="B66" s="3" t="s">
        <v>31</v>
      </c>
      <c r="C66" s="46">
        <f t="shared" si="8"/>
        <v>2618</v>
      </c>
      <c r="D66" s="9">
        <v>2843</v>
      </c>
      <c r="E66" s="9">
        <v>1230</v>
      </c>
      <c r="F66" s="9">
        <v>1295</v>
      </c>
      <c r="G66" s="3">
        <v>65</v>
      </c>
      <c r="H66" s="9">
        <v>155</v>
      </c>
      <c r="I66" s="9">
        <v>160</v>
      </c>
      <c r="J66" s="9">
        <f t="shared" si="6"/>
        <v>32.5</v>
      </c>
      <c r="K66" s="3">
        <f t="shared" si="5"/>
        <v>32.5</v>
      </c>
    </row>
    <row r="67" spans="1:11" ht="20.100000000000001" customHeight="1" x14ac:dyDescent="0.25">
      <c r="A67" s="29" t="s">
        <v>27</v>
      </c>
      <c r="B67" s="3" t="s">
        <v>32</v>
      </c>
      <c r="C67" s="46">
        <f t="shared" si="8"/>
        <v>2603</v>
      </c>
      <c r="D67" s="9">
        <v>2843</v>
      </c>
      <c r="E67" s="9">
        <v>1230</v>
      </c>
      <c r="F67" s="9">
        <v>1295</v>
      </c>
      <c r="G67" s="3">
        <v>65</v>
      </c>
      <c r="H67" s="9">
        <v>170</v>
      </c>
      <c r="I67" s="9">
        <v>175</v>
      </c>
      <c r="J67" s="9">
        <f t="shared" si="6"/>
        <v>32.5</v>
      </c>
      <c r="K67" s="3">
        <f t="shared" si="5"/>
        <v>32.5</v>
      </c>
    </row>
    <row r="68" spans="1:11" x14ac:dyDescent="0.25">
      <c r="A68" s="29" t="s">
        <v>27</v>
      </c>
      <c r="B68" s="3" t="s">
        <v>33</v>
      </c>
      <c r="C68" s="46">
        <f t="shared" si="8"/>
        <v>2588</v>
      </c>
      <c r="D68" s="9">
        <v>2843</v>
      </c>
      <c r="E68" s="9">
        <v>1230</v>
      </c>
      <c r="F68" s="9">
        <v>1295</v>
      </c>
      <c r="G68" s="3">
        <v>65</v>
      </c>
      <c r="H68" s="9">
        <v>185</v>
      </c>
      <c r="I68" s="9">
        <v>190</v>
      </c>
      <c r="J68" s="9">
        <f t="shared" si="6"/>
        <v>32.5</v>
      </c>
      <c r="K68" s="3">
        <f t="shared" ref="K68:K76" si="9">J68</f>
        <v>32.5</v>
      </c>
    </row>
    <row r="69" spans="1:11" ht="20.100000000000001" customHeight="1" x14ac:dyDescent="0.25">
      <c r="A69" s="29" t="s">
        <v>27</v>
      </c>
      <c r="B69" s="3" t="s">
        <v>34</v>
      </c>
      <c r="C69" s="46">
        <f t="shared" si="8"/>
        <v>2578</v>
      </c>
      <c r="D69" s="9">
        <v>2843</v>
      </c>
      <c r="E69" s="9">
        <v>1230</v>
      </c>
      <c r="F69" s="9">
        <v>1295</v>
      </c>
      <c r="G69" s="3">
        <v>65</v>
      </c>
      <c r="H69" s="9">
        <v>195</v>
      </c>
      <c r="I69" s="9">
        <v>200</v>
      </c>
      <c r="J69" s="9">
        <f t="shared" si="6"/>
        <v>32.5</v>
      </c>
      <c r="K69" s="3">
        <f t="shared" si="9"/>
        <v>32.5</v>
      </c>
    </row>
    <row r="70" spans="1:11" ht="20.100000000000001" customHeight="1" x14ac:dyDescent="0.25">
      <c r="A70" s="29" t="s">
        <v>27</v>
      </c>
      <c r="B70" s="3" t="s">
        <v>35</v>
      </c>
      <c r="C70" s="46">
        <f t="shared" si="8"/>
        <v>2558</v>
      </c>
      <c r="D70" s="9">
        <v>2843</v>
      </c>
      <c r="E70" s="9">
        <v>1230</v>
      </c>
      <c r="F70" s="9">
        <v>1295</v>
      </c>
      <c r="G70" s="3">
        <v>65</v>
      </c>
      <c r="H70" s="9">
        <v>215</v>
      </c>
      <c r="I70" s="9">
        <v>220</v>
      </c>
      <c r="J70" s="9">
        <f t="shared" ref="J70:J76" si="10">(F70-E70)/2</f>
        <v>32.5</v>
      </c>
      <c r="K70" s="3">
        <f t="shared" si="9"/>
        <v>32.5</v>
      </c>
    </row>
    <row r="71" spans="1:11" ht="20.100000000000001" customHeight="1" x14ac:dyDescent="0.25">
      <c r="A71" s="29" t="s">
        <v>28</v>
      </c>
      <c r="B71" s="6" t="s">
        <v>36</v>
      </c>
      <c r="C71" s="46">
        <f t="shared" si="8"/>
        <v>2828</v>
      </c>
      <c r="D71" s="9">
        <v>3043</v>
      </c>
      <c r="E71" s="9">
        <v>1320</v>
      </c>
      <c r="F71" s="9">
        <v>1395</v>
      </c>
      <c r="G71" s="3">
        <v>65</v>
      </c>
      <c r="H71" s="9">
        <v>145</v>
      </c>
      <c r="I71" s="9">
        <v>150</v>
      </c>
      <c r="J71" s="9">
        <f t="shared" si="10"/>
        <v>37.5</v>
      </c>
      <c r="K71" s="3">
        <f t="shared" si="9"/>
        <v>37.5</v>
      </c>
    </row>
    <row r="72" spans="1:11" ht="20.100000000000001" customHeight="1" x14ac:dyDescent="0.25">
      <c r="A72" s="29" t="s">
        <v>28</v>
      </c>
      <c r="B72" s="3" t="s">
        <v>31</v>
      </c>
      <c r="C72" s="46">
        <f t="shared" si="8"/>
        <v>2818</v>
      </c>
      <c r="D72" s="9">
        <v>3043</v>
      </c>
      <c r="E72" s="9">
        <v>1320</v>
      </c>
      <c r="F72" s="9">
        <v>1395</v>
      </c>
      <c r="G72" s="3">
        <v>65</v>
      </c>
      <c r="H72" s="9">
        <v>155</v>
      </c>
      <c r="I72" s="9">
        <v>160</v>
      </c>
      <c r="J72" s="9">
        <f t="shared" si="10"/>
        <v>37.5</v>
      </c>
      <c r="K72" s="3">
        <f t="shared" si="9"/>
        <v>37.5</v>
      </c>
    </row>
    <row r="73" spans="1:11" ht="20.100000000000001" customHeight="1" x14ac:dyDescent="0.25">
      <c r="A73" s="29" t="s">
        <v>28</v>
      </c>
      <c r="B73" s="3" t="s">
        <v>32</v>
      </c>
      <c r="C73" s="46">
        <f t="shared" si="8"/>
        <v>2803</v>
      </c>
      <c r="D73" s="9">
        <v>3043</v>
      </c>
      <c r="E73" s="9">
        <v>1320</v>
      </c>
      <c r="F73" s="9">
        <v>1395</v>
      </c>
      <c r="G73" s="3">
        <v>65</v>
      </c>
      <c r="H73" s="9">
        <v>170</v>
      </c>
      <c r="I73" s="9">
        <v>175</v>
      </c>
      <c r="J73" s="9">
        <f t="shared" si="10"/>
        <v>37.5</v>
      </c>
      <c r="K73" s="3">
        <f t="shared" si="9"/>
        <v>37.5</v>
      </c>
    </row>
    <row r="74" spans="1:11" ht="20.100000000000001" customHeight="1" x14ac:dyDescent="0.25">
      <c r="A74" s="29" t="s">
        <v>28</v>
      </c>
      <c r="B74" s="3" t="s">
        <v>33</v>
      </c>
      <c r="C74" s="46">
        <f t="shared" si="8"/>
        <v>2788</v>
      </c>
      <c r="D74" s="9">
        <v>3043</v>
      </c>
      <c r="E74" s="9">
        <v>1320</v>
      </c>
      <c r="F74" s="9">
        <v>1395</v>
      </c>
      <c r="G74" s="3">
        <v>65</v>
      </c>
      <c r="H74" s="9">
        <v>185</v>
      </c>
      <c r="I74" s="9">
        <v>190</v>
      </c>
      <c r="J74" s="9">
        <f t="shared" si="10"/>
        <v>37.5</v>
      </c>
      <c r="K74" s="3">
        <f t="shared" si="9"/>
        <v>37.5</v>
      </c>
    </row>
    <row r="75" spans="1:11" ht="20.100000000000001" customHeight="1" x14ac:dyDescent="0.25">
      <c r="A75" s="29" t="s">
        <v>28</v>
      </c>
      <c r="B75" s="3" t="s">
        <v>34</v>
      </c>
      <c r="C75" s="46">
        <f t="shared" si="8"/>
        <v>2778</v>
      </c>
      <c r="D75" s="9">
        <v>3043</v>
      </c>
      <c r="E75" s="9">
        <v>1320</v>
      </c>
      <c r="F75" s="9">
        <v>1395</v>
      </c>
      <c r="G75" s="3">
        <v>65</v>
      </c>
      <c r="H75" s="9">
        <v>195</v>
      </c>
      <c r="I75" s="9">
        <v>200</v>
      </c>
      <c r="J75" s="9">
        <f t="shared" si="10"/>
        <v>37.5</v>
      </c>
      <c r="K75" s="3">
        <f t="shared" si="9"/>
        <v>37.5</v>
      </c>
    </row>
    <row r="76" spans="1:11" ht="20.100000000000001" customHeight="1" x14ac:dyDescent="0.25">
      <c r="A76" s="29" t="s">
        <v>28</v>
      </c>
      <c r="B76" s="3" t="s">
        <v>35</v>
      </c>
      <c r="C76" s="46">
        <f t="shared" si="8"/>
        <v>2758</v>
      </c>
      <c r="D76" s="9">
        <v>3043</v>
      </c>
      <c r="E76" s="9">
        <v>1320</v>
      </c>
      <c r="F76" s="9">
        <v>1395</v>
      </c>
      <c r="G76" s="3">
        <v>65</v>
      </c>
      <c r="H76" s="9">
        <v>215</v>
      </c>
      <c r="I76" s="9">
        <v>220</v>
      </c>
      <c r="J76" s="9">
        <f t="shared" si="10"/>
        <v>37.5</v>
      </c>
      <c r="K76" s="3">
        <f t="shared" si="9"/>
        <v>37.5</v>
      </c>
    </row>
    <row r="77" spans="1:11" ht="20.100000000000001" customHeight="1" thickBot="1" x14ac:dyDescent="0.3">
      <c r="A77" s="33"/>
      <c r="B77" s="34"/>
      <c r="C77" s="35"/>
      <c r="D77" s="34"/>
      <c r="E77" s="34"/>
      <c r="F77" s="34"/>
      <c r="G77" s="34"/>
      <c r="H77" s="34"/>
      <c r="I77" s="34"/>
      <c r="J77" s="34"/>
      <c r="K77" s="34"/>
    </row>
    <row r="78" spans="1:11" ht="20.100000000000001" customHeight="1" x14ac:dyDescent="0.25">
      <c r="A78" s="36" t="s">
        <v>6</v>
      </c>
      <c r="B78" s="8" t="s">
        <v>7</v>
      </c>
      <c r="C78" s="37" t="s">
        <v>8</v>
      </c>
      <c r="D78" s="38"/>
      <c r="E78" s="38"/>
      <c r="F78" s="38"/>
      <c r="G78" s="39"/>
      <c r="H78" s="39"/>
      <c r="I78" s="7" t="s">
        <v>9</v>
      </c>
      <c r="J78" s="7" t="s">
        <v>10</v>
      </c>
      <c r="K78" s="10" t="s">
        <v>11</v>
      </c>
    </row>
    <row r="79" spans="1:11" ht="20.100000000000001" customHeight="1" thickBot="1" x14ac:dyDescent="0.3">
      <c r="A79" s="40">
        <v>0</v>
      </c>
      <c r="B79" s="41">
        <v>44113</v>
      </c>
      <c r="C79" s="42" t="s">
        <v>13</v>
      </c>
      <c r="D79" s="43"/>
      <c r="E79" s="43"/>
      <c r="F79" s="43"/>
      <c r="G79" s="44"/>
      <c r="H79" s="44"/>
      <c r="I79" s="4" t="s">
        <v>12</v>
      </c>
      <c r="J79" s="4"/>
      <c r="K79" s="5"/>
    </row>
    <row r="80" spans="1:11" ht="20.100000000000001" customHeight="1" thickBot="1" x14ac:dyDescent="0.3">
      <c r="A80" s="40">
        <v>1</v>
      </c>
      <c r="B80" s="41">
        <v>44116</v>
      </c>
      <c r="C80" s="42" t="s">
        <v>38</v>
      </c>
      <c r="D80" s="43"/>
      <c r="E80" s="43"/>
      <c r="F80" s="43"/>
      <c r="G80" s="44"/>
      <c r="H80" s="44"/>
      <c r="I80" s="4" t="s">
        <v>12</v>
      </c>
      <c r="J80" s="4"/>
      <c r="K80" s="5"/>
    </row>
    <row r="81" spans="1:11" ht="20.100000000000001" customHeight="1" x14ac:dyDescent="0.25"/>
    <row r="82" spans="1:11" ht="20.100000000000001" customHeight="1" x14ac:dyDescent="0.25"/>
    <row r="83" spans="1:11" ht="20.100000000000001" customHeight="1" x14ac:dyDescent="0.25"/>
    <row r="84" spans="1:11" ht="20.100000000000001" customHeight="1" x14ac:dyDescent="0.25"/>
    <row r="85" spans="1:11" ht="20.100000000000001" customHeight="1" x14ac:dyDescent="0.25"/>
    <row r="86" spans="1:11" ht="20.100000000000001" customHeight="1" x14ac:dyDescent="0.25"/>
    <row r="87" spans="1:11" ht="20.100000000000001" customHeight="1" x14ac:dyDescent="0.25"/>
    <row r="88" spans="1:11" ht="20.100000000000001" customHeight="1" x14ac:dyDescent="0.25">
      <c r="A88" s="33"/>
      <c r="B88" s="34"/>
      <c r="C88" s="35"/>
      <c r="D88" s="34"/>
      <c r="E88" s="34"/>
      <c r="F88" s="34"/>
      <c r="G88" s="34"/>
      <c r="H88" s="34"/>
      <c r="I88" s="34"/>
      <c r="J88" s="34"/>
      <c r="K88" s="34"/>
    </row>
    <row r="89" spans="1:11" ht="20.100000000000001" customHeight="1" x14ac:dyDescent="0.25">
      <c r="A89" s="33"/>
      <c r="B89" s="34"/>
      <c r="C89" s="35"/>
      <c r="D89" s="34"/>
      <c r="E89" s="34"/>
      <c r="F89" s="34"/>
      <c r="G89" s="34"/>
      <c r="H89" s="34"/>
      <c r="I89" s="34"/>
      <c r="J89" s="34"/>
      <c r="K89" s="34"/>
    </row>
    <row r="90" spans="1:11" ht="20.100000000000001" customHeight="1" x14ac:dyDescent="0.25">
      <c r="A90" s="33"/>
      <c r="B90" s="34"/>
      <c r="C90" s="35"/>
      <c r="D90" s="34"/>
      <c r="E90" s="34"/>
      <c r="F90" s="34"/>
      <c r="G90" s="34"/>
      <c r="H90" s="34"/>
      <c r="I90" s="34"/>
      <c r="J90" s="34"/>
      <c r="K90" s="34"/>
    </row>
    <row r="91" spans="1:11" ht="20.100000000000001" customHeight="1" x14ac:dyDescent="0.25">
      <c r="A91" s="33"/>
      <c r="B91" s="34"/>
      <c r="C91" s="35"/>
      <c r="D91" s="34"/>
      <c r="E91" s="34"/>
      <c r="F91" s="34"/>
      <c r="G91" s="34"/>
      <c r="H91" s="34"/>
      <c r="I91" s="34"/>
      <c r="J91" s="34"/>
      <c r="K91" s="34"/>
    </row>
    <row r="92" spans="1:11" ht="20.100000000000001" customHeight="1" x14ac:dyDescent="0.25">
      <c r="A92" s="33"/>
      <c r="B92" s="34"/>
      <c r="C92" s="35"/>
      <c r="D92" s="34"/>
      <c r="E92" s="34"/>
      <c r="F92" s="34"/>
      <c r="G92" s="34"/>
      <c r="H92" s="34"/>
      <c r="I92" s="34"/>
      <c r="J92" s="34"/>
      <c r="K92" s="34"/>
    </row>
    <row r="93" spans="1:11" ht="20.100000000000001" customHeight="1" x14ac:dyDescent="0.25">
      <c r="A93" s="33"/>
      <c r="B93" s="34"/>
      <c r="C93" s="35"/>
      <c r="D93" s="34"/>
      <c r="E93" s="34"/>
      <c r="F93" s="34"/>
      <c r="G93" s="34"/>
      <c r="H93" s="34"/>
      <c r="I93" s="34"/>
      <c r="J93" s="34"/>
      <c r="K93" s="34"/>
    </row>
    <row r="94" spans="1:11" ht="20.100000000000001" customHeight="1" x14ac:dyDescent="0.25">
      <c r="A94" s="33"/>
      <c r="B94" s="34"/>
      <c r="C94" s="35"/>
      <c r="D94" s="34"/>
      <c r="E94" s="34"/>
      <c r="F94" s="34"/>
      <c r="G94" s="34"/>
      <c r="H94" s="34"/>
      <c r="I94" s="34"/>
      <c r="J94" s="34"/>
      <c r="K94" s="34"/>
    </row>
    <row r="95" spans="1:11" ht="20.100000000000001" customHeight="1" x14ac:dyDescent="0.25">
      <c r="A95" s="33"/>
      <c r="B95" s="34"/>
      <c r="C95" s="35"/>
      <c r="D95" s="34"/>
      <c r="E95" s="34"/>
      <c r="F95" s="34"/>
      <c r="G95" s="34"/>
      <c r="H95" s="34"/>
      <c r="I95" s="34"/>
      <c r="J95" s="34"/>
      <c r="K95" s="34"/>
    </row>
    <row r="96" spans="1:11" ht="20.100000000000001" customHeight="1" x14ac:dyDescent="0.25">
      <c r="A96" s="33"/>
      <c r="B96" s="34"/>
      <c r="C96" s="35"/>
      <c r="D96" s="34"/>
      <c r="E96" s="34"/>
      <c r="F96" s="34"/>
      <c r="G96" s="34"/>
      <c r="H96" s="34"/>
      <c r="I96" s="34"/>
      <c r="J96" s="34"/>
      <c r="K96" s="34"/>
    </row>
    <row r="97" spans="1:11" ht="20.100000000000001" customHeight="1" x14ac:dyDescent="0.25">
      <c r="A97" s="33"/>
      <c r="B97" s="34"/>
      <c r="C97" s="35"/>
      <c r="D97" s="34"/>
      <c r="E97" s="34"/>
      <c r="F97" s="34"/>
      <c r="G97" s="34"/>
      <c r="H97" s="34"/>
      <c r="I97" s="34"/>
      <c r="J97" s="34"/>
      <c r="K97" s="34"/>
    </row>
    <row r="98" spans="1:11" ht="20.100000000000001" customHeight="1" x14ac:dyDescent="0.25">
      <c r="A98" s="33"/>
      <c r="B98" s="34"/>
      <c r="C98" s="35"/>
      <c r="D98" s="34"/>
      <c r="E98" s="34"/>
      <c r="F98" s="34"/>
      <c r="G98" s="34"/>
      <c r="H98" s="34"/>
      <c r="I98" s="34"/>
      <c r="J98" s="34"/>
      <c r="K98" s="34"/>
    </row>
    <row r="99" spans="1:11" ht="20.100000000000001" customHeight="1" x14ac:dyDescent="0.25">
      <c r="A99" s="33"/>
      <c r="B99" s="34"/>
      <c r="C99" s="35"/>
      <c r="D99" s="34"/>
      <c r="E99" s="34"/>
      <c r="F99" s="34"/>
      <c r="G99" s="34"/>
      <c r="H99" s="34"/>
      <c r="I99" s="34"/>
      <c r="J99" s="34"/>
      <c r="K99" s="34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Luca Platini</cp:lastModifiedBy>
  <cp:lastPrinted>2018-04-05T08:16:38Z</cp:lastPrinted>
  <dcterms:created xsi:type="dcterms:W3CDTF">2014-02-18T10:22:28Z</dcterms:created>
  <dcterms:modified xsi:type="dcterms:W3CDTF">2020-10-12T13:24:55Z</dcterms:modified>
</cp:coreProperties>
</file>